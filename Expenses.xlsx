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25" sheetId="1" r:id="rId5"/>
    <sheet state="visible" name="Pivot Table 1" sheetId="2" r:id="rId6"/>
    <sheet state="visible" name="SQL30(learning with jelly)" sheetId="3" r:id="rId7"/>
    <sheet state="visible" name="Diet" sheetId="4" r:id="rId8"/>
    <sheet state="visible" name="Consolidated_Exp" sheetId="5" r:id="rId9"/>
    <sheet state="visible" name="JAN 24" sheetId="6" r:id="rId10"/>
    <sheet state="visible" name="Sheet2" sheetId="7" r:id="rId11"/>
  </sheets>
  <definedNames>
    <definedName hidden="1" localSheetId="4" name="_xlnm._FilterDatabase">Consolidated_Exp!$A$1:$C$174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<sst xmlns="http://schemas.openxmlformats.org/spreadsheetml/2006/main" count="525" uniqueCount="152">
  <si>
    <t>Date</t>
  </si>
  <si>
    <t>Actual</t>
  </si>
  <si>
    <t>Budget</t>
  </si>
  <si>
    <t>Actual Cumm</t>
  </si>
  <si>
    <t>Budget Cumm</t>
  </si>
  <si>
    <t>FOOD</t>
  </si>
  <si>
    <t>Other</t>
  </si>
  <si>
    <t>Gold</t>
  </si>
  <si>
    <t>SIP</t>
  </si>
  <si>
    <t>AC Bal(1st Jan)</t>
  </si>
  <si>
    <t>Rent</t>
  </si>
  <si>
    <t>Expenses</t>
  </si>
  <si>
    <t>Travel</t>
  </si>
  <si>
    <t>Medical</t>
  </si>
  <si>
    <t>Stocks</t>
  </si>
  <si>
    <t>Recharge</t>
  </si>
  <si>
    <t xml:space="preserve">GYM </t>
  </si>
  <si>
    <t>MF</t>
  </si>
  <si>
    <t>AC Bal(1st Feb)</t>
  </si>
  <si>
    <t>ETF</t>
  </si>
  <si>
    <t>Airpods</t>
  </si>
  <si>
    <t>AC Bal(1st Mar)</t>
  </si>
  <si>
    <t>Skincare</t>
  </si>
  <si>
    <t>Shopping</t>
  </si>
  <si>
    <t>Specs</t>
  </si>
  <si>
    <t>AC Bal(1st arpril)</t>
  </si>
  <si>
    <t>Trip</t>
  </si>
  <si>
    <t>Groceries</t>
  </si>
  <si>
    <t>Bar nd kitchen</t>
  </si>
  <si>
    <t>AC Bal(1st May)</t>
  </si>
  <si>
    <t>Movie</t>
  </si>
  <si>
    <t>Party</t>
  </si>
  <si>
    <t>Hotstar</t>
  </si>
  <si>
    <t>Credit charges</t>
  </si>
  <si>
    <t>Gift</t>
  </si>
  <si>
    <t>AC Bal(1st july)</t>
  </si>
  <si>
    <t>by the end to be maintained</t>
  </si>
  <si>
    <t>Over all expenses</t>
  </si>
  <si>
    <t>AC Bal(1st Aug)</t>
  </si>
  <si>
    <t>house</t>
  </si>
  <si>
    <t>AC Bal(31st Aug)</t>
  </si>
  <si>
    <t>AC Bal(1st Sep)</t>
  </si>
  <si>
    <t>AC Bal(31st sep)</t>
  </si>
  <si>
    <t>Medicare</t>
  </si>
  <si>
    <t>GOLD</t>
  </si>
  <si>
    <t>AC Bal(1st OCT)</t>
  </si>
  <si>
    <t>AC Bal(1st Nov)</t>
  </si>
  <si>
    <t>Ayagaru</t>
  </si>
  <si>
    <t>Total</t>
  </si>
  <si>
    <t>FD</t>
  </si>
  <si>
    <t>EOM Balce</t>
  </si>
  <si>
    <t>AC Bal(1st Dec)</t>
  </si>
  <si>
    <t>House</t>
  </si>
  <si>
    <t>silver</t>
  </si>
  <si>
    <t>travel</t>
  </si>
  <si>
    <t>credit card</t>
  </si>
  <si>
    <t>shopping</t>
  </si>
  <si>
    <t>invest</t>
  </si>
  <si>
    <t>beer</t>
  </si>
  <si>
    <t>rent &amp; exp</t>
  </si>
  <si>
    <t>Gym</t>
  </si>
  <si>
    <t>needs &amp; wants</t>
  </si>
  <si>
    <t>gym</t>
  </si>
  <si>
    <t>SUM of Actual</t>
  </si>
  <si>
    <t>Grand Total</t>
  </si>
  <si>
    <t>Day</t>
  </si>
  <si>
    <t>Topics</t>
  </si>
  <si>
    <t>create tables</t>
  </si>
  <si>
    <t>where,and,or,comparision(=,&lt;&gt;,!=,&lt;=)</t>
  </si>
  <si>
    <t xml:space="preserve">in </t>
  </si>
  <si>
    <t>like(%),(_)</t>
  </si>
  <si>
    <t>order by</t>
  </si>
  <si>
    <t>update,delete,alter,drop</t>
  </si>
  <si>
    <t>aggregate functions</t>
  </si>
  <si>
    <t>sum,count,avg</t>
  </si>
  <si>
    <t>group by,having</t>
  </si>
  <si>
    <t>case study</t>
  </si>
  <si>
    <t>left,inner,right joins</t>
  </si>
  <si>
    <t>full outer,union all, union(remove duplicates),self</t>
  </si>
  <si>
    <t>join 3 or more tables</t>
  </si>
  <si>
    <t>CTES SUBQUERIES</t>
  </si>
  <si>
    <t>PRACTICE OF 14&amp;15</t>
  </si>
  <si>
    <t>SET OPEARATORS</t>
  </si>
  <si>
    <t>UNION,UNIONALL,INTERSECT(INNER),EXCEPT(RETURN ROWS ONLY FROM FIRST TABLE that are not in 2 nd table)</t>
  </si>
  <si>
    <t>CTES</t>
  </si>
  <si>
    <t>practice ctes in website</t>
  </si>
  <si>
    <t>window functions</t>
  </si>
  <si>
    <t>over,partition by,row number</t>
  </si>
  <si>
    <t>Rank(skips the number)</t>
  </si>
  <si>
    <t>dense_rank(dont skip)</t>
  </si>
  <si>
    <t>lag</t>
  </si>
  <si>
    <t>String functions(length,upper,lower,substr,trim)</t>
  </si>
  <si>
    <t>practice(Windows,string functions)</t>
  </si>
  <si>
    <t>Case when statements</t>
  </si>
  <si>
    <t>Other functions(Coalesce,replace,date,strftime('%y-%m-%d),round(total,2)</t>
  </si>
  <si>
    <t>select firstname,lastname,replace(email,'@example.com','domain.com') from customers</t>
  </si>
  <si>
    <t>Mini project</t>
  </si>
  <si>
    <t>1.what is average invoice total by customer.</t>
  </si>
  <si>
    <t>2.what are the top 10 customers with most invoices.</t>
  </si>
  <si>
    <t>3.what are top 10 customers by purchase amount</t>
  </si>
  <si>
    <t>4.what are total sales by country</t>
  </si>
  <si>
    <t>Mini project-2</t>
  </si>
  <si>
    <t>1.use a cte and calculate total sales for year 2012. Include the month and total sales amount</t>
  </si>
  <si>
    <t>2.calculate running total o sales for each customer include the customername,invoicedate,invoice total &amp; running total (hind use window function)</t>
  </si>
  <si>
    <t>3.Identify the highest spending customer in each country (include country,customername,total speding)</t>
  </si>
  <si>
    <t>Showcasing SQL work</t>
  </si>
  <si>
    <t>Final recap</t>
  </si>
  <si>
    <t>Breakfast</t>
  </si>
  <si>
    <t>Mid Morning snack</t>
  </si>
  <si>
    <t>Lunch</t>
  </si>
  <si>
    <t>Evening snacks</t>
  </si>
  <si>
    <t>Dinner</t>
  </si>
  <si>
    <t>Before Bed</t>
  </si>
  <si>
    <t>Eggs</t>
  </si>
  <si>
    <t>Nuts, froot smoothie</t>
  </si>
  <si>
    <t>Fruits,</t>
  </si>
  <si>
    <t>Milk,nuts</t>
  </si>
  <si>
    <t xml:space="preserve">to </t>
  </si>
  <si>
    <t>To-do</t>
  </si>
  <si>
    <t>Mon</t>
  </si>
  <si>
    <t>Snack</t>
  </si>
  <si>
    <t>Category</t>
  </si>
  <si>
    <t>Amount</t>
  </si>
  <si>
    <t>STOCKS</t>
  </si>
  <si>
    <t>Trust debt</t>
  </si>
  <si>
    <t>Health Care</t>
  </si>
  <si>
    <t>Phone</t>
  </si>
  <si>
    <t>OTT</t>
  </si>
  <si>
    <t>Salary</t>
  </si>
  <si>
    <t>SIPS</t>
  </si>
  <si>
    <t>Savings</t>
  </si>
  <si>
    <t>Gold+MF</t>
  </si>
  <si>
    <t>Shoping</t>
  </si>
  <si>
    <t>Tickets</t>
  </si>
  <si>
    <t>Trust</t>
  </si>
  <si>
    <t>Travelling</t>
  </si>
  <si>
    <t>Travelling &amp; Accessories</t>
  </si>
  <si>
    <t>Blood test</t>
  </si>
  <si>
    <t>Mobile recharge</t>
  </si>
  <si>
    <t>tshirts</t>
  </si>
  <si>
    <t>Wastage</t>
  </si>
  <si>
    <t>emo emily</t>
  </si>
  <si>
    <t>venus afrodita</t>
  </si>
  <si>
    <t>angryamaon</t>
  </si>
  <si>
    <t>angelcruz</t>
  </si>
  <si>
    <t>thepaug</t>
  </si>
  <si>
    <t>jimenithahot</t>
  </si>
  <si>
    <t>cietra</t>
  </si>
  <si>
    <t>mr entertainer</t>
  </si>
  <si>
    <t>secretsfilmed</t>
  </si>
  <si>
    <t>nysdel</t>
  </si>
  <si>
    <t>ellie pink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</si>
</sst>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 * #,##0_ ;_ * \-#,##0_ ;_ * &quot;-&quot;??_ ;_ @_ "/>
    <numFmt numFmtId="166" formatCode="D/M/YYYY"/>
  </numFmts>
  <fonts count="4">
    <font>
      <sz val="11.0"/>
      <color theme="1"/>
      <name val="Calibri"/>
      <scheme val="minor"/>
    </font>
    <font>
      <sz val="11.0"/>
      <color rgb="FFF2F2F2"/>
      <name val="Calibri"/>
    </font>
    <font>
      <sz val="11.0"/>
      <color theme="1"/>
      <name val="Calibri"/>
    </font>
    <font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FC000"/>
        <bgColor rgb="FFFFC000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0070C0"/>
        <bgColor rgb="FF0070C0"/>
      </patternFill>
    </fill>
    <fill>
      <patternFill patternType="solid">
        <fgColor rgb="FF9F2187"/>
        <bgColor rgb="FF9F2187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0" fillId="0" fontId="2" numFmtId="0" xfId="0" applyFont="1"/>
    <xf borderId="1" fillId="2" fontId="2" numFmtId="164" xfId="0" applyBorder="1" applyFill="1" applyFont="1" applyNumberFormat="1"/>
    <xf borderId="0" fillId="0" fontId="2" numFmtId="0" xfId="0" applyFont="1"/>
    <xf borderId="0" fillId="0" fontId="3" numFmtId="0" xfId="0" applyFont="1"/>
    <xf borderId="0" fillId="0" fontId="3" numFmtId="0" xfId="0" applyFont="1"/>
    <xf borderId="1" fillId="3" fontId="2" numFmtId="0" xfId="0" applyBorder="1" applyFill="1" applyFont="1"/>
    <xf borderId="0" fillId="0" fontId="3" numFmtId="0" xfId="0" applyAlignment="1" applyFont="1">
      <alignment readingOrder="0"/>
    </xf>
    <xf borderId="0" fillId="0" fontId="2" numFmtId="165" xfId="0" applyFont="1" applyNumberFormat="1"/>
    <xf borderId="1" fillId="4" fontId="2" numFmtId="0" xfId="0" applyBorder="1" applyFill="1" applyFont="1"/>
    <xf borderId="1" fillId="5" fontId="2" numFmtId="164" xfId="0" applyBorder="1" applyFill="1" applyFont="1" applyNumberFormat="1"/>
    <xf borderId="0" fillId="0" fontId="2" numFmtId="0" xfId="0" applyAlignment="1" applyFont="1">
      <alignment readingOrder="0"/>
    </xf>
    <xf borderId="1" fillId="6" fontId="2" numFmtId="164" xfId="0" applyBorder="1" applyFill="1" applyFont="1" applyNumberFormat="1"/>
    <xf borderId="1" fillId="7" fontId="2" numFmtId="164" xfId="0" applyBorder="1" applyFill="1" applyFont="1" applyNumberFormat="1"/>
    <xf borderId="1" fillId="8" fontId="2" numFmtId="164" xfId="0" applyBorder="1" applyFill="1" applyFont="1" applyNumberFormat="1"/>
    <xf borderId="1" fillId="9" fontId="2" numFmtId="164" xfId="0" applyBorder="1" applyFill="1" applyFont="1" applyNumberFormat="1"/>
    <xf borderId="1" fillId="10" fontId="2" numFmtId="164" xfId="0" applyBorder="1" applyFill="1" applyFont="1" applyNumberFormat="1"/>
    <xf borderId="1" fillId="11" fontId="2" numFmtId="164" xfId="0" applyBorder="1" applyFill="1" applyFont="1" applyNumberFormat="1"/>
    <xf borderId="1" fillId="12" fontId="2" numFmtId="164" xfId="0" applyBorder="1" applyFill="1" applyFont="1" applyNumberFormat="1"/>
    <xf borderId="0" fillId="13" fontId="3" numFmtId="0" xfId="0" applyFill="1" applyFont="1"/>
    <xf borderId="1" fillId="3" fontId="2" numFmtId="0" xfId="0" applyAlignment="1" applyBorder="1" applyFont="1">
      <alignment readingOrder="0"/>
    </xf>
    <xf borderId="0" fillId="14" fontId="3" numFmtId="0" xfId="0" applyFill="1" applyFont="1"/>
    <xf borderId="0" fillId="15" fontId="3" numFmtId="0" xfId="0" applyFill="1" applyFont="1"/>
    <xf borderId="0" fillId="0" fontId="3" numFmtId="10" xfId="0" applyFont="1" applyNumberFormat="1"/>
    <xf borderId="0" fillId="0" fontId="3" numFmtId="0" xfId="0" applyAlignment="1" applyFont="1">
      <alignment readingOrder="0"/>
    </xf>
    <xf borderId="1" fillId="2" fontId="2" numFmtId="164" xfId="0" applyAlignment="1" applyBorder="1" applyFont="1" applyNumberFormat="1">
      <alignment readingOrder="0"/>
    </xf>
    <xf borderId="0" fillId="13" fontId="3" numFmtId="0" xfId="0" applyAlignment="1" applyFont="1">
      <alignment readingOrder="0"/>
    </xf>
    <xf borderId="0" fillId="14" fontId="3" numFmtId="0" xfId="0" applyAlignment="1" applyFont="1">
      <alignment readingOrder="0"/>
    </xf>
    <xf borderId="0" fillId="15" fontId="3" numFmtId="0" xfId="0" applyAlignment="1" applyFont="1">
      <alignment readingOrder="0"/>
    </xf>
    <xf borderId="1" fillId="16" fontId="2" numFmtId="164" xfId="0" applyAlignment="1" applyBorder="1" applyFill="1" applyFont="1" applyNumberFormat="1">
      <alignment readingOrder="0"/>
    </xf>
    <xf borderId="0" fillId="0" fontId="3" numFmtId="164" xfId="0" applyFont="1" applyNumberFormat="1"/>
    <xf borderId="1" fillId="8" fontId="2" numFmtId="164" xfId="0" applyBorder="1" applyFont="1" applyNumberFormat="1"/>
    <xf borderId="1" fillId="4" fontId="2" numFmtId="166" xfId="0" applyBorder="1" applyFont="1" applyNumberFormat="1"/>
    <xf borderId="0" fillId="0" fontId="2" numFmtId="166" xfId="0" applyFont="1" applyNumberFormat="1"/>
    <xf borderId="0" fillId="0" fontId="3" numFmtId="0" xfId="0" applyAlignment="1" applyFont="1">
      <alignment horizontal="left"/>
    </xf>
    <xf borderId="0" fillId="0" fontId="2" numFmtId="164" xfId="0" applyFont="1" applyNumberFormat="1"/>
    <xf borderId="0" fillId="0" fontId="2" numFmtId="166" xfId="0" applyAlignment="1" applyFont="1" applyNumberFormat="1">
      <alignment readingOrder="0"/>
    </xf>
    <xf borderId="0" fillId="0" fontId="3" numFmtId="1" xfId="0" applyFont="1" applyNumberFormat="1"/>
    <xf borderId="0" fillId="0" fontId="2" numFmtId="1" xfId="0" applyFont="1" applyNumberFormat="1"/>
    <xf borderId="1" fillId="16" fontId="2" numFmtId="164" xfId="0" applyBorder="1" applyFont="1" applyNumberFormat="1"/>
    <xf borderId="1" fillId="16" fontId="2" numFmtId="0" xfId="0" applyBorder="1" applyFont="1"/>
    <xf borderId="1" fillId="17" fontId="2" numFmtId="164" xfId="0" applyBorder="1" applyFill="1" applyFont="1" applyNumberFormat="1"/>
    <xf borderId="1" fillId="17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">
    <tableStyle count="3" pivot="0" name="JAN2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'JAN25'!$I$2:$I$11</c:f>
            </c:strRef>
          </c:cat>
          <c:val>
            <c:numRef>
              <c:f>'JAN25'!$J$2:$J$11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438150</xdr:colOff>
      <xdr:row>1</xdr:row>
      <xdr:rowOff>38100</xdr:rowOff>
    </xdr:from>
    <xdr:ext cx="6572250" cy="38576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25" sheet="JAN25"/>
  </cacheSource>
  <cacheFields>
    <cacheField name="Date" numFmtId="164">
      <sharedItems containsSemiMixedTypes="0" containsDate="1" containsString="0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</sharedItems>
    </cacheField>
    <cacheField name="Actual" numFmtId="0">
      <sharedItems containsString="0" containsBlank="1" containsNumber="1" containsInteger="1">
        <n v="130.0"/>
        <n v="80.0"/>
        <n v="100.0"/>
        <n v="78.0"/>
        <n v="182.0"/>
        <n v="60.0"/>
        <n v="237.0"/>
        <n v="40.0"/>
        <n v="72.0"/>
        <n v="212.0"/>
        <n v="75.0"/>
        <n v="0.0"/>
        <n v="33.0"/>
        <n v="71.0"/>
        <n v="12.0"/>
        <n v="178.0"/>
        <n v="45.0"/>
        <n v="110.0"/>
        <n v="32.0"/>
        <n v="152.0"/>
        <n v="69.0"/>
        <n v="160.0"/>
        <n v="20.0"/>
        <n v="90.0"/>
        <n v="162.0"/>
        <n v="48.0"/>
        <n v="114.0"/>
        <n v="55.0"/>
        <n v="184.0"/>
        <n v="118.0"/>
        <n v="49.0"/>
        <n v="310.0"/>
        <n v="50.0"/>
        <n v="57.0"/>
        <n v="51.0"/>
        <n v="10.0"/>
        <n v="225.0"/>
        <n v="360.0"/>
        <n v="180.0"/>
        <n v="97.0"/>
        <n v="337.0"/>
        <n v="65.0"/>
        <n v="35.0"/>
        <n v="127.0"/>
        <n v="220.0"/>
        <n v="383.0"/>
        <n v="68.0"/>
        <n v="37.0"/>
        <n v="163.0"/>
        <n v="30.0"/>
        <n v="70.0"/>
        <n v="374.0"/>
        <m/>
        <n v="85.0"/>
        <n v="150.0"/>
        <n v="25.0"/>
        <n v="106.0"/>
        <n v="145.0"/>
        <n v="171.0"/>
        <n v="52.0"/>
        <n v="120.0"/>
        <n v="79.0"/>
        <n v="210.0"/>
        <n v="95.0"/>
        <n v="83.0"/>
        <n v="140.0"/>
        <n v="53.0"/>
        <n v="170.0"/>
        <n v="250.0"/>
        <n v="115.0"/>
        <n v="15.0"/>
        <n v="200.0"/>
        <n v="82.0"/>
        <n v="190.0"/>
        <n v="165.0"/>
        <n v="230.0"/>
        <n v="125.0"/>
        <n v="233.0"/>
        <n v="66.0"/>
        <n v="124.0"/>
        <n v="128.0"/>
        <n v="107.0"/>
        <n v="390.0"/>
        <n v="382.0"/>
        <n v="146.0"/>
        <n v="28.0"/>
        <n v="105.0"/>
        <n v="203.0"/>
        <n v="175.0"/>
        <n v="166.0"/>
        <n v="153.0"/>
        <n v="46.0"/>
        <n v="205.0"/>
        <n v="74.0"/>
        <n v="58.0"/>
        <n v="155.0"/>
        <n v="135.0"/>
        <n v="766.0"/>
        <n v="14.0"/>
        <n v="185.0"/>
        <n v="258.0"/>
        <n v="209.0"/>
        <n v="265.0"/>
        <n v="164.0"/>
        <n v="198.0"/>
        <n v="240.0"/>
        <n v="403.0"/>
        <n v="169.0"/>
        <n v="400.0"/>
        <n v="431.0"/>
        <n v="315.0"/>
        <n v="76.0"/>
        <n v="336.0"/>
        <n v="24.0"/>
        <n v="161.0"/>
        <n v="466.0"/>
        <n v="103.0"/>
        <n v="221.0"/>
        <n v="54.0"/>
        <n v="119.0"/>
        <n v="293.0"/>
        <n v="321.0"/>
        <n v="42.0"/>
      </sharedItems>
    </cacheField>
    <cacheField name="Budget" numFmtId="0">
      <sharedItems containsSemiMixedTypes="0" containsString="0" containsNumber="1" containsInteger="1">
        <n v="150.0"/>
      </sharedItems>
    </cacheField>
    <cacheField name="Actual Cumm" numFmtId="0">
      <sharedItems containsSemiMixedTypes="0" containsString="0" containsNumber="1" containsInteger="1">
        <n v="130.0"/>
        <n v="210.0"/>
        <n v="310.0"/>
        <n v="388.0"/>
        <n v="570.0"/>
        <n v="630.0"/>
        <n v="867.0"/>
        <n v="907.0"/>
        <n v="979.0"/>
        <n v="1191.0"/>
        <n v="1266.0"/>
        <n v="1299.0"/>
        <n v="1332.0"/>
        <n v="1403.0"/>
        <n v="1415.0"/>
        <n v="1593.0"/>
        <n v="1638.0"/>
        <n v="1748.0"/>
        <n v="1793.0"/>
        <n v="1825.0"/>
        <n v="1977.0"/>
        <n v="2046.0"/>
        <n v="2206.0"/>
        <n v="2238.0"/>
        <n v="2318.0"/>
        <n v="2338.0"/>
        <n v="2428.0"/>
        <n v="2590.0"/>
        <n v="48.0"/>
        <n v="162.0"/>
        <n v="217.0"/>
        <n v="379.0"/>
        <n v="563.0"/>
        <n v="681.0"/>
        <n v="693.0"/>
        <n v="742.0"/>
        <n v="1052.0"/>
        <n v="1102.0"/>
        <n v="1182.0"/>
        <n v="1257.0"/>
        <n v="1389.0"/>
        <n v="1489.0"/>
        <n v="1540.0"/>
        <n v="1590.0"/>
        <n v="1650.0"/>
        <n v="1660.0"/>
        <n v="1885.0"/>
        <n v="2245.0"/>
        <n v="2285.0"/>
        <n v="2385.0"/>
        <n v="2565.0"/>
        <n v="2640.0"/>
        <n v="2737.0"/>
        <n v="337.0"/>
        <n v="402.0"/>
        <n v="437.0"/>
        <n v="564.0"/>
        <n v="609.0"/>
        <n v="669.0"/>
        <n v="889.0"/>
        <n v="1019.0"/>
        <n v="1402.0"/>
        <n v="1422.0"/>
        <n v="1490.0"/>
        <n v="1580.0"/>
        <n v="1615.0"/>
        <n v="1652.0"/>
        <n v="1815.0"/>
        <n v="1835.0"/>
        <n v="1845.0"/>
        <n v="1935.0"/>
        <n v="1975.0"/>
        <n v="2005.0"/>
        <n v="2075.0"/>
        <n v="2449.0"/>
        <n v="2469.0"/>
        <n v="2559.0"/>
        <n v="2619.0"/>
        <n v="0.0"/>
        <n v="30.0"/>
        <n v="115.0"/>
        <n v="155.0"/>
        <n v="175.0"/>
        <n v="260.0"/>
        <n v="410.0"/>
        <n v="435.0"/>
        <n v="500.0"/>
        <n v="580.0"/>
        <n v="690.0"/>
        <n v="796.0"/>
        <n v="876.0"/>
        <n v="941.0"/>
        <n v="1011.0"/>
        <n v="1083.0"/>
        <n v="1143.0"/>
        <n v="1288.0"/>
        <n v="1353.0"/>
        <n v="1524.0"/>
        <n v="1574.0"/>
        <n v="1614.0"/>
        <n v="52.0"/>
        <n v="172.0"/>
        <n v="251.0"/>
        <n v="461.0"/>
        <n v="521.0"/>
        <n v="616.0"/>
        <n v="666.0"/>
        <n v="736.0"/>
        <n v="836.0"/>
        <n v="919.0"/>
        <n v="1059.0"/>
        <n v="1112.0"/>
        <n v="1282.0"/>
        <n v="1322.0"/>
        <n v="1387.0"/>
        <n v="1637.0"/>
        <n v="1657.0"/>
        <n v="1797.0"/>
        <n v="1907.0"/>
        <n v="1957.0"/>
        <n v="1987.0"/>
        <n v="2037.0"/>
        <n v="2092.0"/>
        <n v="2162.0"/>
        <n v="2277.0"/>
        <n v="2292.0"/>
        <n v="2432.0"/>
        <n v="2547.0"/>
        <n v="2697.0"/>
        <n v="200.0"/>
        <n v="420.0"/>
        <n v="455.0"/>
        <n v="537.0"/>
        <n v="727.0"/>
        <n v="767.0"/>
        <n v="957.0"/>
        <n v="1047.0"/>
        <n v="1087.0"/>
        <n v="1147.0"/>
        <n v="1172.0"/>
        <n v="1237.0"/>
        <n v="1632.0"/>
        <n v="1712.0"/>
        <n v="1792.0"/>
        <n v="1822.0"/>
        <n v="1892.0"/>
        <n v="2017.0"/>
        <n v="2042.0"/>
        <n v="2275.0"/>
        <n v="2310.0"/>
        <n v="2376.0"/>
        <n v="2416.0"/>
        <n v="2540.0"/>
        <n v="2570.0"/>
        <n v="90.0"/>
        <n v="258.0"/>
        <n v="313.0"/>
        <n v="343.0"/>
        <n v="383.0"/>
        <n v="403.0"/>
        <n v="463.0"/>
        <n v="660.0"/>
        <n v="705.0"/>
        <n v="775.0"/>
        <n v="845.0"/>
        <n v="915.0"/>
        <n v="1305.0"/>
        <n v="1687.0"/>
        <n v="1833.0"/>
        <n v="1861.0"/>
        <n v="1901.0"/>
        <n v="1951.0"/>
        <n v="2006.0"/>
        <n v="2111.0"/>
        <n v="2201.0"/>
        <n v="2404.0"/>
        <n v="2509.0"/>
        <n v="2529.0"/>
        <n v="100.0"/>
        <n v="480.0"/>
        <n v="605.0"/>
        <n v="751.0"/>
        <n v="801.0"/>
        <n v="826.0"/>
        <n v="1001.0"/>
        <n v="1101.0"/>
        <n v="1156.0"/>
        <n v="1286.0"/>
        <n v="1306.0"/>
        <n v="1361.0"/>
        <n v="1527.0"/>
        <n v="1602.0"/>
        <n v="1802.0"/>
        <n v="1847.0"/>
        <n v="1877.0"/>
        <n v="1947.0"/>
        <n v="2032.0"/>
        <n v="2216.0"/>
        <n v="2331.0"/>
        <n v="2361.0"/>
        <n v="2514.0"/>
        <n v="2554.0"/>
        <n v="2724.0"/>
        <n v="145.0"/>
        <n v="315.0"/>
        <n v="361.0"/>
        <n v="411.0"/>
        <n v="446.0"/>
        <n v="656.0"/>
        <n v="701.0"/>
        <n v="906.0"/>
        <n v="1121.0"/>
        <n v="1303.0"/>
        <n v="1333.0"/>
        <n v="1343.0"/>
        <n v="1453.0"/>
        <n v="1573.0"/>
        <n v="1647.0"/>
        <n v="1777.0"/>
        <n v="1905.0"/>
        <n v="2025.0"/>
        <n v="150.0"/>
        <n v="220.0"/>
        <n v="425.0"/>
        <n v="485.0"/>
        <n v="575.0"/>
        <n v="730.0"/>
        <n v="865.0"/>
        <n v="905.0"/>
        <n v="1005.0"/>
        <n v="1771.0"/>
        <n v="1841.0"/>
        <n v="1931.0"/>
        <n v="1956.0"/>
        <n v="2026.0"/>
        <n v="190.0"/>
        <n v="204.0"/>
        <n v="344.0"/>
        <n v="529.0"/>
        <n v="787.0"/>
        <n v="862.0"/>
        <n v="1082.0"/>
        <n v="1212.0"/>
        <n v="1337.0"/>
        <n v="1497.0"/>
        <n v="1642.0"/>
        <n v="1752.0"/>
        <n v="1862.0"/>
        <n v="1932.0"/>
        <n v="2141.0"/>
        <n v="2406.0"/>
        <n v="2486.0"/>
        <n v="2650.0"/>
        <n v="2680.0"/>
        <n v="2710.0"/>
        <n v="2910.0"/>
        <n v="2940.0"/>
        <n v="230.0"/>
        <n v="370.0"/>
        <n v="440.0"/>
        <n v="530.0"/>
        <n v="590.0"/>
        <n v="788.0"/>
        <n v="1505.0"/>
        <n v="1535.0"/>
        <n v="1640.0"/>
        <n v="1865.0"/>
        <n v="2034.0"/>
        <n v="2434.0"/>
        <n v="2865.0"/>
        <n v="3045.0"/>
        <n v="3105.0"/>
        <n v="3155.0"/>
        <n v="3185.0"/>
        <n v="3500.0"/>
        <n v="3576.0"/>
        <n v="3590.0"/>
        <n v="3705.0"/>
        <n v="3835.0"/>
        <n v="3935.0"/>
        <n v="4271.0"/>
        <n v="24.0"/>
        <n v="131.0"/>
        <n v="291.0"/>
        <n v="452.0"/>
        <n v="522.0"/>
        <n v="594.0"/>
        <n v="672.0"/>
        <n v="732.0"/>
        <n v="1198.0"/>
        <n v="1301.0"/>
        <n v="1411.0"/>
        <n v="1586.0"/>
        <n v="1621.0"/>
        <n v="1681.0"/>
        <n v="1706.0"/>
        <n v="1766.0"/>
        <n v="2057.0"/>
        <n v="2230.0"/>
        <n v="293.0"/>
        <n v="613.0"/>
        <n v="663.0"/>
        <n v="688.0"/>
        <n v="1009.0"/>
        <n v="1069.0"/>
        <n v="1209.0"/>
        <n v="1251.0"/>
        <n v="1451.0"/>
      </sharedItems>
    </cacheField>
    <cacheField name="Budget Cumm" numFmtId="0">
      <sharedItems containsSemiMixedTypes="0" containsString="0" containsNumber="1" containsInteger="1">
        <n v="150.0"/>
        <n v="300.0"/>
        <n v="450.0"/>
        <n v="600.0"/>
        <n v="750.0"/>
        <n v="900.0"/>
        <n v="1050.0"/>
        <n v="1200.0"/>
        <n v="1350.0"/>
        <n v="1500.0"/>
        <n v="1650.0"/>
        <n v="1800.0"/>
        <n v="1950.0"/>
        <n v="2100.0"/>
        <n v="2250.0"/>
        <n v="2400.0"/>
        <n v="2550.0"/>
        <n v="2700.0"/>
        <n v="2850.0"/>
        <n v="3000.0"/>
        <n v="3150.0"/>
        <n v="3300.0"/>
        <n v="3450.0"/>
        <n v="3600.0"/>
        <n v="3750.0"/>
        <n v="3900.0"/>
        <n v="4050.0"/>
        <n v="4200.0"/>
        <n v="4350.0"/>
        <n v="4500.0"/>
        <n v="4650.0"/>
      </sharedItems>
    </cacheField>
    <cacheField name="FOOD" numFmtId="0">
      <sharedItems containsString="0" containsBlank="1" containsNumber="1" containsInteger="1">
        <n v="110.0"/>
        <n v="80.0"/>
        <n v="100.0"/>
        <n v="50.0"/>
        <n v="150.0"/>
        <n v="60.0"/>
        <n v="59.0"/>
        <n v="40.0"/>
        <n v="72.0"/>
        <n v="200.0"/>
        <m/>
        <n v="12.0"/>
        <n v="45.0"/>
        <n v="32.0"/>
        <n v="0.0"/>
        <n v="69.0"/>
        <n v="20.0"/>
        <n v="90.0"/>
        <n v="162.0"/>
        <n v="48.0"/>
        <n v="65.0"/>
        <n v="55.0"/>
        <n v="184.0"/>
        <n v="118.0"/>
        <n v="49.0"/>
        <n v="170.0"/>
        <n v="75.0"/>
        <n v="57.0"/>
        <n v="51.0"/>
        <n v="10.0"/>
        <n v="225.0"/>
        <n v="160.0"/>
        <n v="97.0"/>
        <n v="67.0"/>
        <n v="35.0"/>
        <n v="25.0"/>
        <n v="220.0"/>
        <n v="130.0"/>
        <n v="285.0"/>
        <n v="37.0"/>
        <n v="85.0"/>
        <n v="30.0"/>
        <n v="70.0"/>
        <n v="344.0"/>
        <n v="145.0"/>
        <n v="171.0"/>
        <n v="52.0"/>
        <n v="120.0"/>
        <n v="210.0"/>
        <n v="95.0"/>
        <n v="83.0"/>
        <n v="140.0"/>
        <n v="53.0"/>
        <n v="250.0"/>
        <n v="115.0"/>
        <n v="15.0"/>
        <n v="185.0"/>
        <n v="82.0"/>
        <n v="190.0"/>
        <n v="105.0"/>
        <n v="230.0"/>
        <n v="125.0"/>
        <n v="233.0"/>
        <n v="66.0"/>
        <n v="107.0"/>
        <n v="390.0"/>
        <n v="242.0"/>
        <n v="146.0"/>
        <n v="28.0"/>
        <n v="203.0"/>
        <n v="166.0"/>
        <n v="26.0"/>
        <n v="182.0"/>
        <n v="74.0"/>
        <n v="58.0"/>
        <n v="205.0"/>
        <n v="155.0"/>
        <n v="135.0"/>
        <n v="392.0"/>
        <n v="14.0"/>
        <n v="180.0"/>
        <n v="89.0"/>
        <n v="265.0"/>
        <n v="198.0"/>
        <n v="240.0"/>
        <n v="123.0"/>
        <n v="400.0"/>
        <n v="311.0"/>
        <n v="76.0"/>
        <n v="24.0"/>
        <n v="161.0"/>
        <n v="126.0"/>
        <n v="175.0"/>
        <n v="221.0"/>
        <n v="54.0"/>
        <n v="293.0"/>
        <n v="321.0"/>
        <n v="42.0"/>
      </sharedItems>
    </cacheField>
    <cacheField name="Other" numFmtId="0">
      <sharedItems containsString="0" containsBlank="1" containsNumber="1" containsInteger="1">
        <n v="20.0"/>
        <m/>
        <n v="28.0"/>
        <n v="32.0"/>
        <n v="178.0"/>
        <n v="12.0"/>
        <n v="75.0"/>
        <n v="33.0"/>
        <n v="71.0"/>
        <n v="50.0"/>
        <n v="140.0"/>
        <n v="120.0"/>
        <n v="49.0"/>
        <n v="200.0"/>
        <n v="160.0"/>
        <n v="270.0"/>
        <n v="102.0"/>
        <n v="98.0"/>
        <n v="68.0"/>
        <n v="78.0"/>
        <n v="30.0"/>
        <n v="106.0"/>
        <n v="54.0"/>
        <n v="40.0"/>
        <n v="95.0"/>
        <n v="80.0"/>
        <n v="100.0"/>
        <n v="15.0"/>
        <n v="60.0"/>
        <n v="24.0"/>
        <n v="150.0"/>
        <n v="103.0"/>
        <n v="374.0"/>
        <n v="70.0"/>
        <n v="59.0"/>
        <n v="90.0"/>
        <n v="280.0"/>
        <n v="99.0"/>
        <n v="180.0"/>
        <n v="285.0"/>
        <n v="206.0"/>
        <n v="62.0"/>
        <n v="340.0"/>
        <n v="11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426" firstHeaderRow="0" firstDataRow="1" firstDataCol="0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Actu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Budget" compact="0" outline="0" multipleItemSelectionAllowed="1" showAll="0">
      <items>
        <item x="0"/>
        <item t="default"/>
      </items>
    </pivotField>
    <pivotField name="Actual Cu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Budget Cu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FO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Oth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</pivotFields>
  <rowFields>
    <field x="0"/>
  </rowFields>
  <dataFields>
    <dataField name="SUM of Actual" fld="1" baseField="0"/>
  </dataFields>
</pivotTableDefinition>
</file>

<file path=xl/tables/table1.xml><?xml version="1.0" encoding="utf-8"?>
<table xmlns="http://schemas.openxmlformats.org/spreadsheetml/2006/main" ref="A1:G392" displayName="Table_1" name="Table_1" id="1">
  <tableColumns count="7">
    <tableColumn name="Date" id="1"/>
    <tableColumn name="Actual" id="2"/>
    <tableColumn name="Budget" id="3"/>
    <tableColumn name="Actual Cumm" id="4"/>
    <tableColumn name="Budget Cumm" id="5"/>
    <tableColumn name="FOOD" id="6"/>
    <tableColumn name="Other" id="7"/>
  </tableColumns>
  <tableStyleInfo name="JAN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8.71"/>
    <col customWidth="1" min="3" max="3" width="9.43"/>
    <col customWidth="1" min="4" max="4" width="12.86"/>
    <col customWidth="1" min="5" max="5" width="15.57"/>
    <col customWidth="1" min="6" max="7" width="8.86"/>
    <col customWidth="1" min="8" max="8" width="8.71"/>
    <col customWidth="1" min="9" max="9" width="22.71"/>
    <col customWidth="1" min="10" max="11" width="8.71"/>
    <col customWidth="1" min="12" max="12" width="29.57"/>
    <col customWidth="1" min="13" max="18" width="8.71"/>
    <col customWidth="1" min="19" max="19" width="12.0"/>
    <col customWidth="1" min="20" max="20" width="8.71"/>
    <col customWidth="1" min="21" max="21" width="9.43"/>
    <col customWidth="1" min="22" max="29" width="8.71"/>
    <col customWidth="1" min="30" max="30" width="47.0"/>
    <col customWidth="1" min="31" max="31" width="8.71"/>
    <col customWidth="1" min="32" max="32" width="9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2"/>
      <c r="M1" s="3"/>
      <c r="AD1" s="3"/>
      <c r="AE1" s="3"/>
      <c r="AF1" s="3"/>
    </row>
    <row r="2">
      <c r="A2" s="4">
        <v>45658.0</v>
      </c>
      <c r="B2" s="5">
        <f>'JAN25'!$F2+'JAN25'!$G2</f>
        <v>130</v>
      </c>
      <c r="C2" s="5">
        <v>150.0</v>
      </c>
      <c r="D2" s="5">
        <f t="shared" ref="D2:E2" si="1">B2</f>
        <v>130</v>
      </c>
      <c r="E2" s="5">
        <f t="shared" si="1"/>
        <v>150</v>
      </c>
      <c r="F2" s="6">
        <v>110.0</v>
      </c>
      <c r="G2" s="6">
        <v>20.0</v>
      </c>
      <c r="I2" s="7" t="s">
        <v>7</v>
      </c>
      <c r="J2" s="3">
        <v>300.0</v>
      </c>
      <c r="K2" s="2"/>
      <c r="M2" s="3"/>
    </row>
    <row r="3">
      <c r="A3" s="4">
        <v>45659.0</v>
      </c>
      <c r="B3" s="5">
        <f>'JAN25'!$F3+'JAN25'!$G3</f>
        <v>80</v>
      </c>
      <c r="C3" s="5">
        <v>150.0</v>
      </c>
      <c r="D3" s="5">
        <f t="shared" ref="D3:D32" si="2">D2+B3</f>
        <v>210</v>
      </c>
      <c r="E3" s="5">
        <f>C3+C2</f>
        <v>300</v>
      </c>
      <c r="F3" s="6">
        <v>80.0</v>
      </c>
      <c r="G3" s="6"/>
      <c r="I3" s="3" t="s">
        <v>8</v>
      </c>
      <c r="J3" s="3">
        <v>2000.0</v>
      </c>
      <c r="K3" s="2"/>
      <c r="L3" s="8" t="s">
        <v>9</v>
      </c>
      <c r="M3" s="3">
        <v>44780.0</v>
      </c>
    </row>
    <row r="4">
      <c r="A4" s="4">
        <v>45660.0</v>
      </c>
      <c r="B4" s="5">
        <f>'JAN25'!$F4+'JAN25'!$G4</f>
        <v>100</v>
      </c>
      <c r="C4" s="5">
        <v>150.0</v>
      </c>
      <c r="D4" s="5">
        <f t="shared" si="2"/>
        <v>310</v>
      </c>
      <c r="E4" s="5">
        <f>C4+E3</f>
        <v>450</v>
      </c>
      <c r="F4" s="6">
        <v>100.0</v>
      </c>
      <c r="G4" s="6"/>
      <c r="I4" s="3" t="s">
        <v>10</v>
      </c>
      <c r="J4" s="3">
        <v>7000.0</v>
      </c>
      <c r="K4" s="2"/>
      <c r="M4" s="7">
        <f>SUM(J2:J9)</f>
        <v>18710</v>
      </c>
      <c r="R4" s="3">
        <f>J2+J3+J5+J6+J7+J9+J10</f>
        <v>9310</v>
      </c>
    </row>
    <row r="5">
      <c r="A5" s="4">
        <v>45661.0</v>
      </c>
      <c r="B5" s="5">
        <f>'JAN25'!$F5+'JAN25'!$G5</f>
        <v>78</v>
      </c>
      <c r="C5" s="5">
        <v>150.0</v>
      </c>
      <c r="D5" s="5">
        <f t="shared" si="2"/>
        <v>388</v>
      </c>
      <c r="E5" s="5">
        <f t="shared" ref="E5:E32" si="3">E4+150</f>
        <v>600</v>
      </c>
      <c r="F5" s="6">
        <f>25+25</f>
        <v>50</v>
      </c>
      <c r="G5" s="6">
        <v>28.0</v>
      </c>
      <c r="I5" s="3" t="s">
        <v>11</v>
      </c>
      <c r="J5" s="3">
        <f>D32</f>
        <v>2590</v>
      </c>
      <c r="K5" s="2"/>
    </row>
    <row r="6">
      <c r="A6" s="4">
        <v>45662.0</v>
      </c>
      <c r="B6" s="5">
        <f>'JAN25'!$F6+'JAN25'!$G6</f>
        <v>182</v>
      </c>
      <c r="C6" s="5">
        <v>150.0</v>
      </c>
      <c r="D6" s="5">
        <f t="shared" si="2"/>
        <v>570</v>
      </c>
      <c r="E6" s="5">
        <f t="shared" si="3"/>
        <v>750</v>
      </c>
      <c r="F6" s="6">
        <v>150.0</v>
      </c>
      <c r="G6" s="6">
        <v>32.0</v>
      </c>
      <c r="I6" s="7" t="s">
        <v>12</v>
      </c>
      <c r="J6" s="7">
        <f>1200+1500</f>
        <v>2700</v>
      </c>
      <c r="K6" s="2"/>
    </row>
    <row r="7">
      <c r="A7" s="4">
        <v>45663.0</v>
      </c>
      <c r="B7" s="5">
        <f>'JAN25'!$F7+'JAN25'!$G7</f>
        <v>60</v>
      </c>
      <c r="C7" s="5">
        <v>150.0</v>
      </c>
      <c r="D7" s="5">
        <f t="shared" si="2"/>
        <v>630</v>
      </c>
      <c r="E7" s="5">
        <f t="shared" si="3"/>
        <v>900</v>
      </c>
      <c r="F7" s="6">
        <v>60.0</v>
      </c>
      <c r="G7" s="6"/>
      <c r="I7" s="3" t="s">
        <v>13</v>
      </c>
      <c r="J7" s="7">
        <v>500.0</v>
      </c>
      <c r="K7" s="2"/>
    </row>
    <row r="8">
      <c r="A8" s="4">
        <v>45664.0</v>
      </c>
      <c r="B8" s="5">
        <f>'JAN25'!$F8+'JAN25'!$G8</f>
        <v>237</v>
      </c>
      <c r="C8" s="5">
        <v>150.0</v>
      </c>
      <c r="D8" s="5">
        <f t="shared" si="2"/>
        <v>867</v>
      </c>
      <c r="E8" s="5">
        <f t="shared" si="3"/>
        <v>1050</v>
      </c>
      <c r="F8" s="6">
        <f>24+35</f>
        <v>59</v>
      </c>
      <c r="G8" s="6">
        <v>178.0</v>
      </c>
      <c r="I8" s="7" t="s">
        <v>14</v>
      </c>
      <c r="J8" s="3">
        <v>3000.0</v>
      </c>
      <c r="K8" s="2"/>
    </row>
    <row r="9">
      <c r="A9" s="4">
        <v>45665.0</v>
      </c>
      <c r="B9" s="5">
        <f>'JAN25'!$F9+'JAN25'!$G9</f>
        <v>40</v>
      </c>
      <c r="C9" s="5">
        <v>150.0</v>
      </c>
      <c r="D9" s="5">
        <f t="shared" si="2"/>
        <v>907</v>
      </c>
      <c r="E9" s="5">
        <f t="shared" si="3"/>
        <v>1200</v>
      </c>
      <c r="F9" s="6">
        <f>20+20</f>
        <v>40</v>
      </c>
      <c r="G9" s="6"/>
      <c r="I9" s="3" t="s">
        <v>15</v>
      </c>
      <c r="J9" s="7">
        <v>620.0</v>
      </c>
      <c r="K9" s="2"/>
    </row>
    <row r="10">
      <c r="A10" s="4">
        <v>45666.0</v>
      </c>
      <c r="B10" s="5">
        <f>'JAN25'!$F10+'JAN25'!$G10</f>
        <v>72</v>
      </c>
      <c r="C10" s="5">
        <v>150.0</v>
      </c>
      <c r="D10" s="5">
        <f t="shared" si="2"/>
        <v>979</v>
      </c>
      <c r="E10" s="5">
        <f t="shared" si="3"/>
        <v>1350</v>
      </c>
      <c r="F10" s="6">
        <f>12+35+25</f>
        <v>72</v>
      </c>
      <c r="G10" s="6"/>
      <c r="H10" s="3"/>
      <c r="I10" s="7" t="s">
        <v>16</v>
      </c>
      <c r="J10" s="3">
        <v>600.0</v>
      </c>
    </row>
    <row r="11">
      <c r="A11" s="4">
        <v>45667.0</v>
      </c>
      <c r="B11" s="5">
        <f>'JAN25'!$F11+'JAN25'!$G11</f>
        <v>212</v>
      </c>
      <c r="C11" s="5">
        <v>150.0</v>
      </c>
      <c r="D11" s="5">
        <f t="shared" si="2"/>
        <v>1191</v>
      </c>
      <c r="E11" s="5">
        <f t="shared" si="3"/>
        <v>1500</v>
      </c>
      <c r="F11" s="6">
        <v>200.0</v>
      </c>
      <c r="G11" s="6">
        <v>12.0</v>
      </c>
      <c r="H11" s="3"/>
      <c r="I11" s="7" t="s">
        <v>17</v>
      </c>
      <c r="J11" s="9">
        <v>500.0</v>
      </c>
    </row>
    <row r="12">
      <c r="A12" s="4">
        <v>45668.0</v>
      </c>
      <c r="B12" s="5">
        <f>'JAN25'!$F12+'JAN25'!$G12</f>
        <v>75</v>
      </c>
      <c r="C12" s="5">
        <v>150.0</v>
      </c>
      <c r="D12" s="5">
        <f t="shared" si="2"/>
        <v>1266</v>
      </c>
      <c r="E12" s="5">
        <f t="shared" si="3"/>
        <v>1650</v>
      </c>
      <c r="F12" s="6"/>
      <c r="G12" s="6">
        <v>75.0</v>
      </c>
      <c r="H12" s="3"/>
      <c r="I12" s="2"/>
    </row>
    <row r="13">
      <c r="A13" s="4">
        <v>45669.0</v>
      </c>
      <c r="B13" s="5">
        <f>'JAN25'!$F13+'JAN25'!$G13</f>
        <v>0</v>
      </c>
      <c r="C13" s="5">
        <v>150.0</v>
      </c>
      <c r="D13" s="5">
        <f t="shared" si="2"/>
        <v>1266</v>
      </c>
      <c r="E13" s="5">
        <f t="shared" si="3"/>
        <v>1800</v>
      </c>
      <c r="F13" s="6"/>
      <c r="G13" s="6"/>
      <c r="H13" s="3"/>
      <c r="I13" s="2"/>
    </row>
    <row r="14">
      <c r="A14" s="4">
        <v>45670.0</v>
      </c>
      <c r="B14" s="5">
        <f>'JAN25'!$F14+'JAN25'!$G14</f>
        <v>33</v>
      </c>
      <c r="C14" s="5">
        <v>150.0</v>
      </c>
      <c r="D14" s="5">
        <f t="shared" si="2"/>
        <v>1299</v>
      </c>
      <c r="E14" s="5">
        <f t="shared" si="3"/>
        <v>1950</v>
      </c>
      <c r="F14" s="6"/>
      <c r="G14" s="6">
        <v>33.0</v>
      </c>
    </row>
    <row r="15">
      <c r="A15" s="4">
        <v>45671.0</v>
      </c>
      <c r="B15" s="5">
        <f>'JAN25'!$F15+'JAN25'!$G15</f>
        <v>0</v>
      </c>
      <c r="C15" s="5">
        <v>150.0</v>
      </c>
      <c r="D15" s="5">
        <f t="shared" si="2"/>
        <v>1299</v>
      </c>
      <c r="E15" s="5">
        <f t="shared" si="3"/>
        <v>2100</v>
      </c>
      <c r="F15" s="6"/>
      <c r="G15" s="6"/>
    </row>
    <row r="16">
      <c r="A16" s="4">
        <v>45672.0</v>
      </c>
      <c r="B16" s="5">
        <f>'JAN25'!$F16+'JAN25'!$G16</f>
        <v>33</v>
      </c>
      <c r="C16" s="5">
        <v>150.0</v>
      </c>
      <c r="D16" s="5">
        <f t="shared" si="2"/>
        <v>1332</v>
      </c>
      <c r="E16" s="5">
        <f t="shared" si="3"/>
        <v>2250</v>
      </c>
      <c r="F16" s="6"/>
      <c r="G16" s="6">
        <v>33.0</v>
      </c>
    </row>
    <row r="17">
      <c r="A17" s="4">
        <v>45673.0</v>
      </c>
      <c r="B17" s="5">
        <f>'JAN25'!$F17+'JAN25'!$G17</f>
        <v>71</v>
      </c>
      <c r="C17" s="5">
        <v>150.0</v>
      </c>
      <c r="D17" s="5">
        <f t="shared" si="2"/>
        <v>1403</v>
      </c>
      <c r="E17" s="5">
        <f t="shared" si="3"/>
        <v>2400</v>
      </c>
      <c r="F17" s="6"/>
      <c r="G17" s="6">
        <v>71.0</v>
      </c>
      <c r="I17" s="3"/>
    </row>
    <row r="18">
      <c r="A18" s="4">
        <v>45674.0</v>
      </c>
      <c r="B18" s="5">
        <f>'JAN25'!$F18+'JAN25'!$G18</f>
        <v>12</v>
      </c>
      <c r="C18" s="5">
        <v>150.0</v>
      </c>
      <c r="D18" s="5">
        <f t="shared" si="2"/>
        <v>1415</v>
      </c>
      <c r="E18" s="5">
        <f t="shared" si="3"/>
        <v>2550</v>
      </c>
      <c r="F18" s="6">
        <v>12.0</v>
      </c>
      <c r="G18" s="6"/>
    </row>
    <row r="19">
      <c r="A19" s="4">
        <v>45675.0</v>
      </c>
      <c r="B19" s="5">
        <f>'JAN25'!$F19+'JAN25'!$G19</f>
        <v>178</v>
      </c>
      <c r="C19" s="5">
        <v>150.0</v>
      </c>
      <c r="D19" s="5">
        <f t="shared" si="2"/>
        <v>1593</v>
      </c>
      <c r="E19" s="5">
        <f t="shared" si="3"/>
        <v>2700</v>
      </c>
      <c r="F19" s="6">
        <v>150.0</v>
      </c>
      <c r="G19" s="6">
        <v>28.0</v>
      </c>
    </row>
    <row r="20">
      <c r="A20" s="4">
        <v>45676.0</v>
      </c>
      <c r="B20" s="5">
        <f>'JAN25'!$F20+'JAN25'!$G20</f>
        <v>45</v>
      </c>
      <c r="C20" s="5">
        <v>150.0</v>
      </c>
      <c r="D20" s="5">
        <f t="shared" si="2"/>
        <v>1638</v>
      </c>
      <c r="E20" s="5">
        <f t="shared" si="3"/>
        <v>2850</v>
      </c>
      <c r="F20" s="6">
        <v>45.0</v>
      </c>
      <c r="G20" s="6"/>
    </row>
    <row r="21" ht="15.75" customHeight="1">
      <c r="A21" s="4">
        <v>45677.0</v>
      </c>
      <c r="B21" s="5">
        <f>'JAN25'!$F21+'JAN25'!$G21</f>
        <v>110</v>
      </c>
      <c r="C21" s="5">
        <v>150.0</v>
      </c>
      <c r="D21" s="5">
        <f t="shared" si="2"/>
        <v>1748</v>
      </c>
      <c r="E21" s="5">
        <f t="shared" si="3"/>
        <v>3000</v>
      </c>
      <c r="F21" s="6">
        <v>60.0</v>
      </c>
      <c r="G21" s="6">
        <v>50.0</v>
      </c>
      <c r="J21" s="3"/>
    </row>
    <row r="22" ht="15.75" customHeight="1">
      <c r="A22" s="4">
        <v>45678.0</v>
      </c>
      <c r="B22" s="5">
        <f>'JAN25'!$F22+'JAN25'!$G22</f>
        <v>45</v>
      </c>
      <c r="C22" s="5">
        <v>150.0</v>
      </c>
      <c r="D22" s="5">
        <f t="shared" si="2"/>
        <v>1793</v>
      </c>
      <c r="E22" s="5">
        <f t="shared" si="3"/>
        <v>3150</v>
      </c>
      <c r="F22" s="6">
        <v>45.0</v>
      </c>
      <c r="G22" s="6"/>
    </row>
    <row r="23" ht="15.75" customHeight="1">
      <c r="A23" s="4">
        <v>45679.0</v>
      </c>
      <c r="B23" s="5">
        <f>'JAN25'!$F23+'JAN25'!$G23</f>
        <v>32</v>
      </c>
      <c r="C23" s="5">
        <v>150.0</v>
      </c>
      <c r="D23" s="5">
        <f t="shared" si="2"/>
        <v>1825</v>
      </c>
      <c r="E23" s="5">
        <f t="shared" si="3"/>
        <v>3300</v>
      </c>
      <c r="F23" s="6">
        <f>12+20</f>
        <v>32</v>
      </c>
      <c r="G23" s="6"/>
    </row>
    <row r="24" ht="15.75" customHeight="1">
      <c r="A24" s="4">
        <v>45680.0</v>
      </c>
      <c r="B24" s="5">
        <f>'JAN25'!$F24+'JAN25'!$G24</f>
        <v>0</v>
      </c>
      <c r="C24" s="5">
        <v>150.0</v>
      </c>
      <c r="D24" s="5">
        <f t="shared" si="2"/>
        <v>1825</v>
      </c>
      <c r="E24" s="5">
        <f t="shared" si="3"/>
        <v>3450</v>
      </c>
      <c r="F24" s="6">
        <v>0.0</v>
      </c>
      <c r="G24" s="6"/>
    </row>
    <row r="25" ht="15.75" customHeight="1">
      <c r="A25" s="4">
        <v>45681.0</v>
      </c>
      <c r="B25" s="5">
        <f>'JAN25'!$F25+'JAN25'!$G25</f>
        <v>152</v>
      </c>
      <c r="C25" s="5">
        <v>150.0</v>
      </c>
      <c r="D25" s="5">
        <f t="shared" si="2"/>
        <v>1977</v>
      </c>
      <c r="E25" s="5">
        <f t="shared" si="3"/>
        <v>3600</v>
      </c>
      <c r="F25" s="6">
        <v>12.0</v>
      </c>
      <c r="G25" s="6">
        <v>140.0</v>
      </c>
    </row>
    <row r="26" ht="15.75" customHeight="1">
      <c r="A26" s="4">
        <v>45682.0</v>
      </c>
      <c r="B26" s="5">
        <f>'JAN25'!$F26+'JAN25'!$G26</f>
        <v>69</v>
      </c>
      <c r="C26" s="5">
        <v>150.0</v>
      </c>
      <c r="D26" s="5">
        <f t="shared" si="2"/>
        <v>2046</v>
      </c>
      <c r="E26" s="5">
        <f t="shared" si="3"/>
        <v>3750</v>
      </c>
      <c r="F26" s="6">
        <f>57+12</f>
        <v>69</v>
      </c>
      <c r="G26" s="6"/>
      <c r="S26" s="10">
        <f>Q26*R26</f>
        <v>0</v>
      </c>
      <c r="AD26" s="3"/>
      <c r="AE26" s="3"/>
      <c r="AF26" s="3"/>
    </row>
    <row r="27" ht="15.75" customHeight="1">
      <c r="A27" s="4">
        <v>45683.0</v>
      </c>
      <c r="B27" s="5">
        <f>'JAN25'!$F27+'JAN25'!$G27</f>
        <v>160</v>
      </c>
      <c r="C27" s="5">
        <v>150.0</v>
      </c>
      <c r="D27" s="5">
        <f t="shared" si="2"/>
        <v>2206</v>
      </c>
      <c r="E27" s="5">
        <f t="shared" si="3"/>
        <v>3900</v>
      </c>
      <c r="F27" s="6">
        <v>40.0</v>
      </c>
      <c r="G27" s="6">
        <f>120</f>
        <v>120</v>
      </c>
      <c r="S27" s="10"/>
      <c r="T27" s="2"/>
      <c r="U27" s="10"/>
      <c r="AD27" s="3"/>
      <c r="AF27" s="3"/>
    </row>
    <row r="28" ht="15.75" customHeight="1">
      <c r="A28" s="4">
        <v>45684.0</v>
      </c>
      <c r="B28" s="5">
        <f>'JAN25'!$F28+'JAN25'!$G28</f>
        <v>32</v>
      </c>
      <c r="C28" s="5">
        <v>150.0</v>
      </c>
      <c r="D28" s="5">
        <f t="shared" si="2"/>
        <v>2238</v>
      </c>
      <c r="E28" s="5">
        <f t="shared" si="3"/>
        <v>4050</v>
      </c>
      <c r="F28" s="6">
        <f>20+12</f>
        <v>32</v>
      </c>
      <c r="G28" s="6"/>
      <c r="S28" s="10">
        <f>S27+U27</f>
        <v>0</v>
      </c>
      <c r="AF28" s="3"/>
    </row>
    <row r="29" ht="15.75" customHeight="1">
      <c r="A29" s="4">
        <v>45685.0</v>
      </c>
      <c r="B29" s="5">
        <f>'JAN25'!$F29+'JAN25'!$G29</f>
        <v>80</v>
      </c>
      <c r="C29" s="5">
        <v>150.0</v>
      </c>
      <c r="D29" s="5">
        <f t="shared" si="2"/>
        <v>2318</v>
      </c>
      <c r="E29" s="5">
        <f t="shared" si="3"/>
        <v>4200</v>
      </c>
      <c r="F29" s="6">
        <f>80</f>
        <v>80</v>
      </c>
      <c r="G29" s="6"/>
      <c r="AF29" s="3"/>
    </row>
    <row r="30" ht="15.75" customHeight="1">
      <c r="A30" s="4">
        <v>45686.0</v>
      </c>
      <c r="B30" s="5">
        <f>'JAN25'!$F30+'JAN25'!$G30</f>
        <v>20</v>
      </c>
      <c r="C30" s="5">
        <v>150.0</v>
      </c>
      <c r="D30" s="5">
        <f t="shared" si="2"/>
        <v>2338</v>
      </c>
      <c r="E30" s="5">
        <f t="shared" si="3"/>
        <v>4350</v>
      </c>
      <c r="F30" s="6">
        <v>20.0</v>
      </c>
      <c r="G30" s="6"/>
      <c r="AF30" s="3"/>
    </row>
    <row r="31" ht="15.75" customHeight="1">
      <c r="A31" s="4">
        <v>45687.0</v>
      </c>
      <c r="B31" s="5">
        <f>'JAN25'!$F31+'JAN25'!$G31</f>
        <v>90</v>
      </c>
      <c r="C31" s="5">
        <v>150.0</v>
      </c>
      <c r="D31" s="5">
        <f t="shared" si="2"/>
        <v>2428</v>
      </c>
      <c r="E31" s="5">
        <f t="shared" si="3"/>
        <v>4500</v>
      </c>
      <c r="F31" s="6">
        <v>90.0</v>
      </c>
      <c r="G31" s="6"/>
      <c r="AF31" s="3"/>
    </row>
    <row r="32" ht="15.75" customHeight="1">
      <c r="A32" s="4">
        <v>45688.0</v>
      </c>
      <c r="B32" s="5">
        <f>'JAN25'!$F32+'JAN25'!$G32</f>
        <v>162</v>
      </c>
      <c r="C32" s="5">
        <v>150.0</v>
      </c>
      <c r="D32" s="5">
        <f t="shared" si="2"/>
        <v>2590</v>
      </c>
      <c r="E32" s="5">
        <f t="shared" si="3"/>
        <v>4650</v>
      </c>
      <c r="F32" s="6">
        <f>12+100+50</f>
        <v>162</v>
      </c>
      <c r="G32" s="6"/>
      <c r="AF32" s="11"/>
    </row>
    <row r="33" ht="15.75" customHeight="1">
      <c r="A33" s="12">
        <v>45689.0</v>
      </c>
      <c r="B33" s="5">
        <f>'JAN25'!$F33+'JAN25'!$G33</f>
        <v>48</v>
      </c>
      <c r="C33" s="5">
        <v>150.0</v>
      </c>
      <c r="D33" s="5">
        <f>'JAN25'!$B33</f>
        <v>48</v>
      </c>
      <c r="E33" s="5">
        <f>'JAN25'!$C33</f>
        <v>150</v>
      </c>
      <c r="F33" s="6">
        <v>48.0</v>
      </c>
      <c r="G33" s="6"/>
      <c r="I33" s="7" t="s">
        <v>7</v>
      </c>
      <c r="J33" s="13">
        <v>300.0</v>
      </c>
      <c r="L33" s="8" t="s">
        <v>18</v>
      </c>
      <c r="M33" s="7">
        <v>44397.0</v>
      </c>
      <c r="AF33" s="3"/>
    </row>
    <row r="34" ht="15.75" customHeight="1">
      <c r="A34" s="12">
        <v>45690.0</v>
      </c>
      <c r="B34" s="5">
        <f>'JAN25'!$F34+'JAN25'!$G34</f>
        <v>114</v>
      </c>
      <c r="C34" s="5">
        <v>150.0</v>
      </c>
      <c r="D34" s="5">
        <f>'JAN25'!$B34+D33</f>
        <v>162</v>
      </c>
      <c r="E34" s="5">
        <f>E33+'JAN25'!$C34</f>
        <v>300</v>
      </c>
      <c r="F34" s="6">
        <f>65</f>
        <v>65</v>
      </c>
      <c r="G34" s="6">
        <f>23+26</f>
        <v>49</v>
      </c>
      <c r="I34" s="3" t="s">
        <v>8</v>
      </c>
      <c r="J34" s="3">
        <v>2000.0</v>
      </c>
      <c r="M34" s="7">
        <f>SUM(J33:J39)</f>
        <v>13937</v>
      </c>
      <c r="AF34" s="3"/>
    </row>
    <row r="35" ht="15.75" customHeight="1">
      <c r="A35" s="12">
        <v>45691.0</v>
      </c>
      <c r="B35" s="5">
        <f>'JAN25'!$F35+'JAN25'!$G35</f>
        <v>55</v>
      </c>
      <c r="C35" s="5">
        <v>150.0</v>
      </c>
      <c r="D35" s="5">
        <f>'JAN25'!$B35+D34</f>
        <v>217</v>
      </c>
      <c r="E35" s="5">
        <f>E34+'JAN25'!$C35</f>
        <v>450</v>
      </c>
      <c r="F35" s="6">
        <v>55.0</v>
      </c>
      <c r="G35" s="6"/>
      <c r="I35" s="7" t="s">
        <v>19</v>
      </c>
      <c r="J35" s="7">
        <v>500.0</v>
      </c>
      <c r="AF35" s="3"/>
    </row>
    <row r="36" ht="15.75" customHeight="1">
      <c r="A36" s="12">
        <v>45692.0</v>
      </c>
      <c r="B36" s="5">
        <f>'JAN25'!$F36+'JAN25'!$G36</f>
        <v>162</v>
      </c>
      <c r="C36" s="5">
        <v>150.0</v>
      </c>
      <c r="D36" s="5">
        <f>'JAN25'!$B36+D35</f>
        <v>379</v>
      </c>
      <c r="E36" s="5">
        <f>E35+'JAN25'!$C36</f>
        <v>600</v>
      </c>
      <c r="F36" s="6">
        <f>140+22</f>
        <v>162</v>
      </c>
      <c r="G36" s="6"/>
      <c r="I36" s="3" t="s">
        <v>11</v>
      </c>
      <c r="J36" s="7">
        <f>D60</f>
        <v>2737</v>
      </c>
      <c r="M36" s="7">
        <f>10000</f>
        <v>10000</v>
      </c>
      <c r="AF36" s="3"/>
    </row>
    <row r="37" ht="15.75" customHeight="1">
      <c r="A37" s="12">
        <v>45693.0</v>
      </c>
      <c r="B37" s="5">
        <f>'JAN25'!$F37+'JAN25'!$G37</f>
        <v>184</v>
      </c>
      <c r="C37" s="5">
        <v>150.0</v>
      </c>
      <c r="D37" s="5">
        <f>'JAN25'!$B37+D36</f>
        <v>563</v>
      </c>
      <c r="E37" s="5">
        <f>E36+'JAN25'!$C37</f>
        <v>750</v>
      </c>
      <c r="F37" s="6">
        <f>160+24</f>
        <v>184</v>
      </c>
      <c r="G37" s="6"/>
      <c r="I37" s="7" t="s">
        <v>16</v>
      </c>
      <c r="J37" s="7">
        <v>600.0</v>
      </c>
      <c r="AF37" s="3"/>
    </row>
    <row r="38" ht="15.75" customHeight="1">
      <c r="A38" s="12">
        <v>45694.0</v>
      </c>
      <c r="B38" s="5">
        <f>'JAN25'!$F38+'JAN25'!$G38</f>
        <v>118</v>
      </c>
      <c r="C38" s="5">
        <v>150.0</v>
      </c>
      <c r="D38" s="5">
        <f>'JAN25'!$B38+D37</f>
        <v>681</v>
      </c>
      <c r="E38" s="5">
        <f>E37+'JAN25'!$C38</f>
        <v>900</v>
      </c>
      <c r="F38" s="6">
        <f>50+10+25+33</f>
        <v>118</v>
      </c>
      <c r="G38" s="6"/>
      <c r="I38" s="3" t="s">
        <v>10</v>
      </c>
      <c r="J38" s="7">
        <v>7000.0</v>
      </c>
      <c r="AF38" s="3"/>
    </row>
    <row r="39" ht="15.75" customHeight="1">
      <c r="A39" s="12">
        <v>45695.0</v>
      </c>
      <c r="B39" s="5">
        <f>'JAN25'!$F39+'JAN25'!$G39</f>
        <v>12</v>
      </c>
      <c r="C39" s="5">
        <v>150.0</v>
      </c>
      <c r="D39" s="5">
        <f>'JAN25'!$B39+D38</f>
        <v>693</v>
      </c>
      <c r="E39" s="5">
        <f>E38+'JAN25'!$C39</f>
        <v>1050</v>
      </c>
      <c r="F39" s="6">
        <v>12.0</v>
      </c>
      <c r="G39" s="6"/>
      <c r="I39" s="7" t="s">
        <v>20</v>
      </c>
      <c r="J39" s="7">
        <v>800.0</v>
      </c>
      <c r="AF39" s="3"/>
    </row>
    <row r="40" ht="15.75" customHeight="1">
      <c r="A40" s="12">
        <v>45696.0</v>
      </c>
      <c r="B40" s="5">
        <f>'JAN25'!$F40+'JAN25'!$G40</f>
        <v>49</v>
      </c>
      <c r="C40" s="5">
        <v>150.0</v>
      </c>
      <c r="D40" s="5">
        <f>'JAN25'!$B40+D39</f>
        <v>742</v>
      </c>
      <c r="E40" s="5">
        <f>E39+'JAN25'!$C40</f>
        <v>1200</v>
      </c>
      <c r="F40" s="6">
        <f>14+10+25</f>
        <v>49</v>
      </c>
      <c r="G40" s="6"/>
      <c r="I40" s="7" t="s">
        <v>17</v>
      </c>
      <c r="J40" s="9">
        <v>500.0</v>
      </c>
      <c r="AF40" s="3"/>
    </row>
    <row r="41" ht="15.75" customHeight="1">
      <c r="A41" s="12">
        <v>45697.0</v>
      </c>
      <c r="B41" s="5">
        <f>'JAN25'!$F41+'JAN25'!$G41</f>
        <v>310</v>
      </c>
      <c r="C41" s="5">
        <v>150.0</v>
      </c>
      <c r="D41" s="5">
        <f>'JAN25'!$B41+D40</f>
        <v>1052</v>
      </c>
      <c r="E41" s="5">
        <f>E40+'JAN25'!$C41</f>
        <v>1350</v>
      </c>
      <c r="F41" s="6">
        <v>170.0</v>
      </c>
      <c r="G41" s="6">
        <v>140.0</v>
      </c>
      <c r="J41" s="3"/>
      <c r="AF41" s="3"/>
    </row>
    <row r="42" ht="15.75" customHeight="1">
      <c r="A42" s="12">
        <v>45698.0</v>
      </c>
      <c r="B42" s="5">
        <f>'JAN25'!$F42+'JAN25'!$G42</f>
        <v>50</v>
      </c>
      <c r="C42" s="5">
        <v>150.0</v>
      </c>
      <c r="D42" s="5">
        <f>'JAN25'!$B42+D41</f>
        <v>1102</v>
      </c>
      <c r="E42" s="5">
        <f>E41+'JAN25'!$C42</f>
        <v>1500</v>
      </c>
      <c r="F42" s="6">
        <f>20+10+20</f>
        <v>50</v>
      </c>
      <c r="G42" s="6"/>
      <c r="AF42" s="3"/>
    </row>
    <row r="43" ht="15.75" customHeight="1">
      <c r="A43" s="12">
        <v>45699.0</v>
      </c>
      <c r="B43" s="5">
        <f>'JAN25'!$F43+'JAN25'!$G43</f>
        <v>80</v>
      </c>
      <c r="C43" s="5">
        <v>150.0</v>
      </c>
      <c r="D43" s="5">
        <f>'JAN25'!$B43+D42</f>
        <v>1182</v>
      </c>
      <c r="E43" s="5">
        <f>E42+'JAN25'!$C43</f>
        <v>1650</v>
      </c>
      <c r="F43" s="6">
        <v>80.0</v>
      </c>
      <c r="G43" s="6"/>
      <c r="AF43" s="3"/>
    </row>
    <row r="44" ht="15.75" customHeight="1">
      <c r="A44" s="12">
        <v>45700.0</v>
      </c>
      <c r="B44" s="5">
        <f>'JAN25'!$F44+'JAN25'!$G44</f>
        <v>75</v>
      </c>
      <c r="C44" s="5">
        <v>150.0</v>
      </c>
      <c r="D44" s="5">
        <f>'JAN25'!$B44+D43</f>
        <v>1257</v>
      </c>
      <c r="E44" s="5">
        <f>E43+'JAN25'!$C44</f>
        <v>1800</v>
      </c>
      <c r="F44" s="6">
        <f>25+20+30</f>
        <v>75</v>
      </c>
      <c r="G44" s="6"/>
      <c r="AF44" s="3"/>
    </row>
    <row r="45" ht="15.75" customHeight="1">
      <c r="A45" s="12">
        <v>45701.0</v>
      </c>
      <c r="B45" s="5">
        <f>'JAN25'!$F45+'JAN25'!$G45</f>
        <v>75</v>
      </c>
      <c r="C45" s="5">
        <v>150.0</v>
      </c>
      <c r="D45" s="5">
        <f>'JAN25'!$B45+D44</f>
        <v>1332</v>
      </c>
      <c r="E45" s="5">
        <f>E44+'JAN25'!$C45</f>
        <v>1950</v>
      </c>
      <c r="F45" s="6">
        <f>60+15</f>
        <v>75</v>
      </c>
      <c r="G45" s="6"/>
    </row>
    <row r="46" ht="15.75" customHeight="1">
      <c r="A46" s="12">
        <v>45702.0</v>
      </c>
      <c r="B46" s="5">
        <f>'JAN25'!$F46+'JAN25'!$G46</f>
        <v>57</v>
      </c>
      <c r="C46" s="5">
        <v>150.0</v>
      </c>
      <c r="D46" s="5">
        <f>'JAN25'!$B46+D45</f>
        <v>1389</v>
      </c>
      <c r="E46" s="5">
        <f>E45+'JAN25'!$C46</f>
        <v>2100</v>
      </c>
      <c r="F46" s="6">
        <f>27+20+10</f>
        <v>57</v>
      </c>
      <c r="G46" s="6"/>
    </row>
    <row r="47" ht="15.75" customHeight="1">
      <c r="A47" s="12">
        <v>45703.0</v>
      </c>
      <c r="B47" s="5">
        <f>'JAN25'!$F47+'JAN25'!$G47</f>
        <v>100</v>
      </c>
      <c r="C47" s="5">
        <v>150.0</v>
      </c>
      <c r="D47" s="5">
        <f>'JAN25'!$B47+D46</f>
        <v>1489</v>
      </c>
      <c r="E47" s="5">
        <f>E46+'JAN25'!$C47</f>
        <v>2250</v>
      </c>
      <c r="F47" s="6">
        <v>100.0</v>
      </c>
      <c r="G47" s="6"/>
    </row>
    <row r="48" ht="15.75" customHeight="1">
      <c r="A48" s="12">
        <v>45704.0</v>
      </c>
      <c r="B48" s="5">
        <f>'JAN25'!$F48+'JAN25'!$G48</f>
        <v>51</v>
      </c>
      <c r="C48" s="5">
        <v>150.0</v>
      </c>
      <c r="D48" s="5">
        <f>'JAN25'!$B48+D47</f>
        <v>1540</v>
      </c>
      <c r="E48" s="5">
        <f>E47+'JAN25'!$C48</f>
        <v>2400</v>
      </c>
      <c r="F48" s="6">
        <f>36+15</f>
        <v>51</v>
      </c>
      <c r="G48" s="6"/>
    </row>
    <row r="49" ht="15.75" customHeight="1">
      <c r="A49" s="12">
        <v>45705.0</v>
      </c>
      <c r="B49" s="5">
        <f>'JAN25'!$F49+'JAN25'!$G49</f>
        <v>0</v>
      </c>
      <c r="C49" s="5">
        <v>150.0</v>
      </c>
      <c r="D49" s="5">
        <f>'JAN25'!$B49+D48</f>
        <v>1540</v>
      </c>
      <c r="E49" s="5">
        <f>E48+'JAN25'!$C49</f>
        <v>2550</v>
      </c>
      <c r="F49" s="6"/>
      <c r="G49" s="6"/>
    </row>
    <row r="50" ht="15.75" customHeight="1">
      <c r="A50" s="12">
        <v>45706.0</v>
      </c>
      <c r="B50" s="5">
        <f>'JAN25'!$F50+'JAN25'!$G50</f>
        <v>50</v>
      </c>
      <c r="C50" s="5">
        <v>150.0</v>
      </c>
      <c r="D50" s="5">
        <f>'JAN25'!$B50+D49</f>
        <v>1590</v>
      </c>
      <c r="E50" s="5">
        <f>E49+'JAN25'!$C50</f>
        <v>2700</v>
      </c>
      <c r="F50" s="6">
        <f>50</f>
        <v>50</v>
      </c>
      <c r="G50" s="6"/>
    </row>
    <row r="51" ht="15.75" customHeight="1">
      <c r="A51" s="12">
        <v>45707.0</v>
      </c>
      <c r="B51" s="5">
        <f>'JAN25'!$F51+'JAN25'!$G51</f>
        <v>0</v>
      </c>
      <c r="C51" s="5">
        <v>150.0</v>
      </c>
      <c r="D51" s="5">
        <f>'JAN25'!$B51+D50</f>
        <v>1590</v>
      </c>
      <c r="E51" s="5">
        <f>E50+'JAN25'!$C51</f>
        <v>2850</v>
      </c>
      <c r="F51" s="6"/>
      <c r="G51" s="6"/>
    </row>
    <row r="52" ht="15.75" customHeight="1">
      <c r="A52" s="12">
        <v>45708.0</v>
      </c>
      <c r="B52" s="5">
        <f>'JAN25'!$F52+'JAN25'!$G52</f>
        <v>60</v>
      </c>
      <c r="C52" s="5">
        <v>150.0</v>
      </c>
      <c r="D52" s="5">
        <f>'JAN25'!$B52+D51</f>
        <v>1650</v>
      </c>
      <c r="E52" s="5">
        <f>E51+'JAN25'!$C52</f>
        <v>3000</v>
      </c>
      <c r="F52" s="6">
        <v>60.0</v>
      </c>
      <c r="G52" s="6"/>
    </row>
    <row r="53" ht="15.75" customHeight="1">
      <c r="A53" s="12">
        <v>45709.0</v>
      </c>
      <c r="B53" s="5">
        <f>'JAN25'!$F53+'JAN25'!$G53</f>
        <v>10</v>
      </c>
      <c r="C53" s="5">
        <v>150.0</v>
      </c>
      <c r="D53" s="5">
        <f>'JAN25'!$B53+D52</f>
        <v>1660</v>
      </c>
      <c r="E53" s="5">
        <f>E52+'JAN25'!$C53</f>
        <v>3150</v>
      </c>
      <c r="F53" s="6">
        <v>10.0</v>
      </c>
      <c r="G53" s="6"/>
    </row>
    <row r="54" ht="15.75" customHeight="1">
      <c r="A54" s="12">
        <v>45710.0</v>
      </c>
      <c r="B54" s="5">
        <f>'JAN25'!$F54+'JAN25'!$G54</f>
        <v>225</v>
      </c>
      <c r="C54" s="5">
        <v>150.0</v>
      </c>
      <c r="D54" s="5">
        <f>'JAN25'!$B54+D53</f>
        <v>1885</v>
      </c>
      <c r="E54" s="5">
        <f>E53+'JAN25'!$C54</f>
        <v>3300</v>
      </c>
      <c r="F54" s="6">
        <f>80+40+20+65+20</f>
        <v>225</v>
      </c>
      <c r="G54" s="6"/>
    </row>
    <row r="55" ht="15.75" customHeight="1">
      <c r="A55" s="12">
        <v>45711.0</v>
      </c>
      <c r="B55" s="5">
        <f>'JAN25'!$F55+'JAN25'!$G55</f>
        <v>360</v>
      </c>
      <c r="C55" s="5">
        <v>150.0</v>
      </c>
      <c r="D55" s="5">
        <f>'JAN25'!$B55+D54</f>
        <v>2245</v>
      </c>
      <c r="E55" s="5">
        <f>E54+'JAN25'!$C55</f>
        <v>3450</v>
      </c>
      <c r="F55" s="6">
        <v>160.0</v>
      </c>
      <c r="G55" s="6">
        <v>200.0</v>
      </c>
    </row>
    <row r="56" ht="15.75" customHeight="1">
      <c r="A56" s="12">
        <v>45712.0</v>
      </c>
      <c r="B56" s="5">
        <f>'JAN25'!$F56+'JAN25'!$G56</f>
        <v>40</v>
      </c>
      <c r="C56" s="5">
        <v>150.0</v>
      </c>
      <c r="D56" s="5">
        <f>'JAN25'!$B56+D55</f>
        <v>2285</v>
      </c>
      <c r="E56" s="5">
        <f>E55+'JAN25'!$C56</f>
        <v>3600</v>
      </c>
      <c r="F56" s="6">
        <f>15+25</f>
        <v>40</v>
      </c>
      <c r="G56" s="6"/>
    </row>
    <row r="57" ht="15.75" customHeight="1">
      <c r="A57" s="12">
        <v>45713.0</v>
      </c>
      <c r="B57" s="5">
        <f>'JAN25'!$F57+'JAN25'!$G57</f>
        <v>100</v>
      </c>
      <c r="C57" s="5">
        <v>150.0</v>
      </c>
      <c r="D57" s="5">
        <f>'JAN25'!$B57+D56</f>
        <v>2385</v>
      </c>
      <c r="E57" s="5">
        <f>E56+'JAN25'!$C57</f>
        <v>3750</v>
      </c>
      <c r="F57" s="6">
        <v>100.0</v>
      </c>
      <c r="G57" s="6"/>
    </row>
    <row r="58" ht="15.75" customHeight="1">
      <c r="A58" s="12">
        <v>45714.0</v>
      </c>
      <c r="B58" s="5">
        <f>'JAN25'!$F58+'JAN25'!$G58</f>
        <v>180</v>
      </c>
      <c r="C58" s="5">
        <v>150.0</v>
      </c>
      <c r="D58" s="5">
        <f>'JAN25'!$B58+D57</f>
        <v>2565</v>
      </c>
      <c r="E58" s="5">
        <f>E57+'JAN25'!$C58</f>
        <v>3900</v>
      </c>
      <c r="F58" s="6">
        <f>20</f>
        <v>20</v>
      </c>
      <c r="G58" s="6">
        <v>160.0</v>
      </c>
    </row>
    <row r="59" ht="15.75" customHeight="1">
      <c r="A59" s="12">
        <v>45715.0</v>
      </c>
      <c r="B59" s="5">
        <f>'JAN25'!$F59+'JAN25'!$G59</f>
        <v>75</v>
      </c>
      <c r="C59" s="5">
        <v>150.0</v>
      </c>
      <c r="D59" s="5">
        <f>'JAN25'!$B59+D58</f>
        <v>2640</v>
      </c>
      <c r="E59" s="5">
        <f>E58+'JAN25'!$C59</f>
        <v>4050</v>
      </c>
      <c r="F59" s="6">
        <f>50+25</f>
        <v>75</v>
      </c>
      <c r="G59" s="6"/>
    </row>
    <row r="60" ht="15.75" customHeight="1">
      <c r="A60" s="12">
        <v>45716.0</v>
      </c>
      <c r="B60" s="5">
        <f>'JAN25'!$F60+'JAN25'!$G60</f>
        <v>97</v>
      </c>
      <c r="C60" s="5">
        <v>150.0</v>
      </c>
      <c r="D60" s="5">
        <f>'JAN25'!$B60+D59</f>
        <v>2737</v>
      </c>
      <c r="E60" s="5">
        <f>E59+'JAN25'!$C60</f>
        <v>4200</v>
      </c>
      <c r="F60" s="6">
        <f>60+37</f>
        <v>97</v>
      </c>
      <c r="G60" s="6"/>
    </row>
    <row r="61" ht="15.75" customHeight="1">
      <c r="A61" s="14">
        <v>45717.0</v>
      </c>
      <c r="B61" s="5">
        <f>'JAN25'!$F61+'JAN25'!$G61</f>
        <v>337</v>
      </c>
      <c r="C61" s="5">
        <v>150.0</v>
      </c>
      <c r="D61" s="5">
        <f>'JAN25'!$B61</f>
        <v>337</v>
      </c>
      <c r="E61" s="5">
        <v>150.0</v>
      </c>
      <c r="F61" s="6">
        <f>37+30</f>
        <v>67</v>
      </c>
      <c r="G61" s="6">
        <f>60+60+150</f>
        <v>270</v>
      </c>
      <c r="I61" s="7" t="s">
        <v>7</v>
      </c>
      <c r="J61" s="9">
        <v>300.0</v>
      </c>
      <c r="L61" s="8" t="s">
        <v>21</v>
      </c>
      <c r="M61" s="7">
        <v>57397.0</v>
      </c>
    </row>
    <row r="62" ht="15.75" customHeight="1">
      <c r="A62" s="14">
        <v>45718.0</v>
      </c>
      <c r="B62" s="5">
        <f>'JAN25'!$F62+'JAN25'!$G62</f>
        <v>65</v>
      </c>
      <c r="C62" s="5">
        <v>150.0</v>
      </c>
      <c r="D62" s="5">
        <f>D61+'JAN25'!$B62</f>
        <v>402</v>
      </c>
      <c r="E62" s="5">
        <f>E61+'JAN25'!$C62</f>
        <v>300</v>
      </c>
      <c r="F62" s="6">
        <f>50+15</f>
        <v>65</v>
      </c>
      <c r="G62" s="6"/>
      <c r="I62" s="7" t="s">
        <v>8</v>
      </c>
      <c r="J62" s="7">
        <v>2000.0</v>
      </c>
    </row>
    <row r="63" ht="15.75" customHeight="1">
      <c r="A63" s="14">
        <v>45719.0</v>
      </c>
      <c r="B63" s="5">
        <f>'JAN25'!$F63+'JAN25'!$G63</f>
        <v>35</v>
      </c>
      <c r="C63" s="5">
        <v>150.0</v>
      </c>
      <c r="D63" s="5">
        <f>D62+'JAN25'!$B63</f>
        <v>437</v>
      </c>
      <c r="E63" s="5">
        <f>E62+'JAN25'!$C63</f>
        <v>450</v>
      </c>
      <c r="F63" s="6">
        <f>35</f>
        <v>35</v>
      </c>
      <c r="G63" s="6"/>
      <c r="I63" s="7" t="s">
        <v>19</v>
      </c>
      <c r="J63" s="7">
        <v>500.0</v>
      </c>
    </row>
    <row r="64" ht="15.75" customHeight="1">
      <c r="A64" s="14">
        <v>45720.0</v>
      </c>
      <c r="B64" s="5">
        <f>'JAN25'!$F64+'JAN25'!$G64</f>
        <v>127</v>
      </c>
      <c r="C64" s="5">
        <v>150.0</v>
      </c>
      <c r="D64" s="5">
        <f>D63+'JAN25'!$B64</f>
        <v>564</v>
      </c>
      <c r="E64" s="5">
        <f>E63+'JAN25'!$C64</f>
        <v>600</v>
      </c>
      <c r="F64" s="6">
        <v>25.0</v>
      </c>
      <c r="G64" s="6">
        <f>45+57</f>
        <v>102</v>
      </c>
      <c r="I64" s="7" t="s">
        <v>11</v>
      </c>
      <c r="J64" s="7">
        <f>D91</f>
        <v>2619</v>
      </c>
    </row>
    <row r="65" ht="15.75" customHeight="1">
      <c r="A65" s="14">
        <v>45721.0</v>
      </c>
      <c r="B65" s="5">
        <f>'JAN25'!$F65+'JAN25'!$G65</f>
        <v>45</v>
      </c>
      <c r="C65" s="5">
        <v>150.0</v>
      </c>
      <c r="D65" s="5">
        <f>D64+'JAN25'!$B65</f>
        <v>609</v>
      </c>
      <c r="E65" s="5">
        <f>E64+'JAN25'!$C65</f>
        <v>750</v>
      </c>
      <c r="F65" s="6">
        <f>20+25</f>
        <v>45</v>
      </c>
      <c r="G65" s="6"/>
      <c r="I65" s="7" t="s">
        <v>22</v>
      </c>
      <c r="J65" s="7">
        <v>630.0</v>
      </c>
    </row>
    <row r="66" ht="15.75" customHeight="1">
      <c r="A66" s="14">
        <v>45722.0</v>
      </c>
      <c r="B66" s="5">
        <f>'JAN25'!$F66+'JAN25'!$G66</f>
        <v>60</v>
      </c>
      <c r="C66" s="5">
        <v>150.0</v>
      </c>
      <c r="D66" s="5">
        <f>D65+'JAN25'!$B66</f>
        <v>669</v>
      </c>
      <c r="E66" s="5">
        <f>E65+'JAN25'!$C66</f>
        <v>900</v>
      </c>
      <c r="F66" s="6">
        <v>60.0</v>
      </c>
      <c r="G66" s="6"/>
      <c r="I66" s="7" t="s">
        <v>10</v>
      </c>
      <c r="J66" s="7">
        <v>7000.0</v>
      </c>
    </row>
    <row r="67" ht="15.75" customHeight="1">
      <c r="A67" s="14">
        <v>45723.0</v>
      </c>
      <c r="B67" s="5">
        <f>'JAN25'!$F67+'JAN25'!$G67</f>
        <v>220</v>
      </c>
      <c r="C67" s="5">
        <v>150.0</v>
      </c>
      <c r="D67" s="5">
        <f>D66+'JAN25'!$B67</f>
        <v>889</v>
      </c>
      <c r="E67" s="5">
        <f>E66+'JAN25'!$C67</f>
        <v>1050</v>
      </c>
      <c r="F67" s="6">
        <v>220.0</v>
      </c>
      <c r="G67" s="6"/>
      <c r="I67" s="7" t="s">
        <v>15</v>
      </c>
      <c r="J67" s="7">
        <v>580.0</v>
      </c>
    </row>
    <row r="68" ht="15.75" customHeight="1">
      <c r="A68" s="14">
        <v>45724.0</v>
      </c>
      <c r="B68" s="5">
        <f>'JAN25'!$F68+'JAN25'!$G68</f>
        <v>130</v>
      </c>
      <c r="C68" s="5">
        <v>150.0</v>
      </c>
      <c r="D68" s="5">
        <f>D67+'JAN25'!$B68</f>
        <v>1019</v>
      </c>
      <c r="E68" s="5">
        <f>E67+'JAN25'!$C68</f>
        <v>1200</v>
      </c>
      <c r="F68" s="6">
        <f>60+70</f>
        <v>130</v>
      </c>
      <c r="G68" s="6"/>
      <c r="I68" s="7" t="s">
        <v>14</v>
      </c>
      <c r="J68" s="7">
        <v>3000.0</v>
      </c>
    </row>
    <row r="69" ht="15.75" customHeight="1">
      <c r="A69" s="14">
        <v>45725.0</v>
      </c>
      <c r="B69" s="5">
        <f>'JAN25'!$F69+'JAN25'!$G69</f>
        <v>383</v>
      </c>
      <c r="C69" s="5">
        <v>150.0</v>
      </c>
      <c r="D69" s="5">
        <f>D68+'JAN25'!$B69</f>
        <v>1402</v>
      </c>
      <c r="E69" s="5">
        <f>E68+'JAN25'!$C69</f>
        <v>1350</v>
      </c>
      <c r="F69" s="6">
        <f>20+100+100+65</f>
        <v>285</v>
      </c>
      <c r="G69" s="6">
        <f>60+38</f>
        <v>98</v>
      </c>
      <c r="I69" s="7" t="s">
        <v>23</v>
      </c>
      <c r="J69" s="7">
        <v>1347.0</v>
      </c>
    </row>
    <row r="70" ht="15.75" customHeight="1">
      <c r="A70" s="14">
        <v>45726.0</v>
      </c>
      <c r="B70" s="5">
        <f>'JAN25'!$F70+'JAN25'!$G70</f>
        <v>20</v>
      </c>
      <c r="C70" s="5">
        <v>150.0</v>
      </c>
      <c r="D70" s="5">
        <f>D69+'JAN25'!$B70</f>
        <v>1422</v>
      </c>
      <c r="E70" s="5">
        <f>E69+'JAN25'!$C70</f>
        <v>1500</v>
      </c>
      <c r="F70" s="6">
        <v>20.0</v>
      </c>
      <c r="G70" s="6"/>
      <c r="I70" s="7" t="s">
        <v>24</v>
      </c>
      <c r="J70" s="7">
        <v>3350.0</v>
      </c>
    </row>
    <row r="71" ht="15.75" customHeight="1">
      <c r="A71" s="14">
        <v>45727.0</v>
      </c>
      <c r="B71" s="5">
        <f>'JAN25'!$F71+'JAN25'!$G71</f>
        <v>68</v>
      </c>
      <c r="C71" s="5">
        <v>150.0</v>
      </c>
      <c r="D71" s="5">
        <f>D70+'JAN25'!$B71</f>
        <v>1490</v>
      </c>
      <c r="E71" s="5">
        <f>E70+'JAN25'!$C71</f>
        <v>1650</v>
      </c>
      <c r="F71" s="6"/>
      <c r="G71" s="6">
        <f>40+28</f>
        <v>68</v>
      </c>
      <c r="I71" s="7" t="s">
        <v>12</v>
      </c>
      <c r="J71" s="7">
        <v>3000.0</v>
      </c>
    </row>
    <row r="72" ht="15.75" customHeight="1">
      <c r="A72" s="14">
        <v>45728.0</v>
      </c>
      <c r="B72" s="5">
        <f>'JAN25'!$F72+'JAN25'!$G72</f>
        <v>50</v>
      </c>
      <c r="C72" s="5">
        <v>150.0</v>
      </c>
      <c r="D72" s="5">
        <f>D71+'JAN25'!$B72</f>
        <v>1540</v>
      </c>
      <c r="E72" s="5">
        <f>E71+'JAN25'!$C72</f>
        <v>1800</v>
      </c>
      <c r="F72" s="6"/>
      <c r="G72" s="6">
        <f>30+20</f>
        <v>50</v>
      </c>
      <c r="I72" s="7" t="s">
        <v>17</v>
      </c>
      <c r="J72" s="9">
        <v>500.0</v>
      </c>
    </row>
    <row r="73" ht="15.75" customHeight="1">
      <c r="A73" s="14">
        <v>45729.0</v>
      </c>
      <c r="B73" s="5">
        <f>'JAN25'!$F73+'JAN25'!$G73</f>
        <v>40</v>
      </c>
      <c r="C73" s="5">
        <v>150.0</v>
      </c>
      <c r="D73" s="5">
        <f>D72+'JAN25'!$B73</f>
        <v>1580</v>
      </c>
      <c r="E73" s="5">
        <f>E72+'JAN25'!$C73</f>
        <v>1950</v>
      </c>
      <c r="F73" s="6">
        <v>40.0</v>
      </c>
      <c r="G73" s="6"/>
    </row>
    <row r="74" ht="15.75" customHeight="1">
      <c r="A74" s="14">
        <v>45730.0</v>
      </c>
      <c r="B74" s="5">
        <f>'JAN25'!$F74+'JAN25'!$G74</f>
        <v>35</v>
      </c>
      <c r="C74" s="5">
        <v>150.0</v>
      </c>
      <c r="D74" s="5">
        <f>D73+'JAN25'!$B74</f>
        <v>1615</v>
      </c>
      <c r="E74" s="5">
        <f>E73+'JAN25'!$C74</f>
        <v>2100</v>
      </c>
      <c r="F74" s="6">
        <f>25+10</f>
        <v>35</v>
      </c>
      <c r="G74" s="6"/>
    </row>
    <row r="75" ht="15.75" customHeight="1">
      <c r="A75" s="14">
        <v>45731.0</v>
      </c>
      <c r="B75" s="5">
        <f>'JAN25'!$F75+'JAN25'!$G75</f>
        <v>37</v>
      </c>
      <c r="C75" s="5">
        <v>150.0</v>
      </c>
      <c r="D75" s="5">
        <f>D74+'JAN25'!$B75</f>
        <v>1652</v>
      </c>
      <c r="E75" s="5">
        <f>E74+'JAN25'!$C75</f>
        <v>2250</v>
      </c>
      <c r="F75" s="6">
        <f>37</f>
        <v>37</v>
      </c>
      <c r="G75" s="6"/>
    </row>
    <row r="76" ht="15.75" customHeight="1">
      <c r="A76" s="14">
        <v>45732.0</v>
      </c>
      <c r="B76" s="5">
        <f>'JAN25'!$F76+'JAN25'!$G76</f>
        <v>163</v>
      </c>
      <c r="C76" s="5">
        <v>150.0</v>
      </c>
      <c r="D76" s="5">
        <f>D75+'JAN25'!$B76</f>
        <v>1815</v>
      </c>
      <c r="E76" s="5">
        <f>E75+'JAN25'!$C76</f>
        <v>2400</v>
      </c>
      <c r="F76" s="6">
        <f>25+60</f>
        <v>85</v>
      </c>
      <c r="G76" s="6">
        <f>30+48</f>
        <v>78</v>
      </c>
    </row>
    <row r="77" ht="15.75" customHeight="1">
      <c r="A77" s="14">
        <v>45733.0</v>
      </c>
      <c r="B77" s="5">
        <f>'JAN25'!$F77+'JAN25'!$G77</f>
        <v>20</v>
      </c>
      <c r="C77" s="5">
        <v>150.0</v>
      </c>
      <c r="D77" s="5">
        <f>D76+'JAN25'!$B77</f>
        <v>1835</v>
      </c>
      <c r="E77" s="5">
        <f>E76+'JAN25'!$C77</f>
        <v>2550</v>
      </c>
      <c r="F77" s="6">
        <v>20.0</v>
      </c>
      <c r="G77" s="6"/>
    </row>
    <row r="78" ht="15.75" customHeight="1">
      <c r="A78" s="14">
        <v>45734.0</v>
      </c>
      <c r="B78" s="5">
        <f>'JAN25'!$F78+'JAN25'!$G78</f>
        <v>10</v>
      </c>
      <c r="C78" s="5">
        <v>150.0</v>
      </c>
      <c r="D78" s="5">
        <f>D77+'JAN25'!$B78</f>
        <v>1845</v>
      </c>
      <c r="E78" s="5">
        <f>E77+'JAN25'!$C78</f>
        <v>2700</v>
      </c>
      <c r="F78" s="6">
        <v>10.0</v>
      </c>
      <c r="G78" s="6"/>
    </row>
    <row r="79" ht="15.75" customHeight="1">
      <c r="A79" s="14">
        <v>45735.0</v>
      </c>
      <c r="B79" s="5">
        <f>'JAN25'!$F79+'JAN25'!$G79</f>
        <v>90</v>
      </c>
      <c r="C79" s="5">
        <v>150.0</v>
      </c>
      <c r="D79" s="5">
        <f>D78+'JAN25'!$B79</f>
        <v>1935</v>
      </c>
      <c r="E79" s="5">
        <f>E78+'JAN25'!$C79</f>
        <v>2850</v>
      </c>
      <c r="F79" s="6">
        <f>70+20</f>
        <v>90</v>
      </c>
      <c r="G79" s="6"/>
    </row>
    <row r="80" ht="15.75" customHeight="1">
      <c r="A80" s="14">
        <v>45736.0</v>
      </c>
      <c r="B80" s="5">
        <f>'JAN25'!$F80+'JAN25'!$G80</f>
        <v>40</v>
      </c>
      <c r="C80" s="5">
        <v>150.0</v>
      </c>
      <c r="D80" s="5">
        <f>D79+'JAN25'!$B80</f>
        <v>1975</v>
      </c>
      <c r="E80" s="5">
        <f>E79+'JAN25'!$C80</f>
        <v>3000</v>
      </c>
      <c r="F80" s="6">
        <v>40.0</v>
      </c>
      <c r="G80" s="6"/>
    </row>
    <row r="81" ht="15.75" customHeight="1">
      <c r="A81" s="14">
        <v>45737.0</v>
      </c>
      <c r="B81" s="5">
        <f>'JAN25'!$F81+'JAN25'!$G81</f>
        <v>30</v>
      </c>
      <c r="C81" s="5">
        <v>150.0</v>
      </c>
      <c r="D81" s="5">
        <f>D80+'JAN25'!$B81</f>
        <v>2005</v>
      </c>
      <c r="E81" s="5">
        <f>E80+'JAN25'!$C81</f>
        <v>3150</v>
      </c>
      <c r="F81" s="6">
        <v>30.0</v>
      </c>
      <c r="G81" s="6"/>
    </row>
    <row r="82" ht="15.75" customHeight="1">
      <c r="A82" s="14">
        <v>45738.0</v>
      </c>
      <c r="B82" s="5">
        <f>'JAN25'!$F82+'JAN25'!$G82</f>
        <v>70</v>
      </c>
      <c r="C82" s="5">
        <v>150.0</v>
      </c>
      <c r="D82" s="5">
        <f>D81+'JAN25'!$B82</f>
        <v>2075</v>
      </c>
      <c r="E82" s="5">
        <f>E81+'JAN25'!$C82</f>
        <v>3300</v>
      </c>
      <c r="F82" s="6">
        <f>20+30+20</f>
        <v>70</v>
      </c>
      <c r="G82" s="6"/>
    </row>
    <row r="83" ht="15.75" customHeight="1">
      <c r="A83" s="14">
        <v>45739.0</v>
      </c>
      <c r="B83" s="5">
        <f>'JAN25'!$F83+'JAN25'!$G83</f>
        <v>374</v>
      </c>
      <c r="C83" s="5">
        <v>150.0</v>
      </c>
      <c r="D83" s="5">
        <f>D82+'JAN25'!$B83</f>
        <v>2449</v>
      </c>
      <c r="E83" s="5">
        <f>E82+'JAN25'!$C83</f>
        <v>3450</v>
      </c>
      <c r="F83" s="6">
        <f>14+300+30</f>
        <v>344</v>
      </c>
      <c r="G83" s="6">
        <v>30.0</v>
      </c>
    </row>
    <row r="84" ht="15.75" customHeight="1">
      <c r="A84" s="14">
        <v>45740.0</v>
      </c>
      <c r="B84" s="5">
        <f>'JAN25'!$F84+'JAN25'!$G84</f>
        <v>20</v>
      </c>
      <c r="C84" s="5">
        <v>150.0</v>
      </c>
      <c r="D84" s="5">
        <f>D83+'JAN25'!$B84</f>
        <v>2469</v>
      </c>
      <c r="E84" s="5">
        <f>E83+'JAN25'!$C84</f>
        <v>3600</v>
      </c>
      <c r="F84" s="6">
        <v>20.0</v>
      </c>
      <c r="G84" s="6"/>
    </row>
    <row r="85" ht="15.75" customHeight="1">
      <c r="A85" s="14">
        <v>45741.0</v>
      </c>
      <c r="B85" s="5">
        <f>'JAN25'!$F85+'JAN25'!$G85</f>
        <v>90</v>
      </c>
      <c r="C85" s="5">
        <v>150.0</v>
      </c>
      <c r="D85" s="5">
        <f>D84+'JAN25'!$B85</f>
        <v>2559</v>
      </c>
      <c r="E85" s="5">
        <f>E84+'JAN25'!$C85</f>
        <v>3750</v>
      </c>
      <c r="F85" s="6">
        <f>90</f>
        <v>90</v>
      </c>
      <c r="G85" s="6"/>
    </row>
    <row r="86" ht="15.75" customHeight="1">
      <c r="A86" s="14">
        <v>45742.0</v>
      </c>
      <c r="B86" s="5">
        <f>'JAN25'!$F86+'JAN25'!$G86</f>
        <v>60</v>
      </c>
      <c r="C86" s="5">
        <v>150.0</v>
      </c>
      <c r="D86" s="5">
        <f>D85+'JAN25'!$B86</f>
        <v>2619</v>
      </c>
      <c r="E86" s="5">
        <f>E85+'JAN25'!$C86</f>
        <v>3900</v>
      </c>
      <c r="F86" s="6">
        <v>60.0</v>
      </c>
      <c r="G86" s="6"/>
    </row>
    <row r="87" ht="15.75" customHeight="1">
      <c r="A87" s="14">
        <v>45743.0</v>
      </c>
      <c r="B87" s="5">
        <f>'JAN25'!$F87+'JAN25'!$G87</f>
        <v>0</v>
      </c>
      <c r="C87" s="5">
        <v>150.0</v>
      </c>
      <c r="D87" s="5">
        <f>D86+'JAN25'!$B87</f>
        <v>2619</v>
      </c>
      <c r="E87" s="5">
        <f>E86+'JAN25'!$C87</f>
        <v>4050</v>
      </c>
      <c r="F87" s="6"/>
      <c r="G87" s="6"/>
    </row>
    <row r="88" ht="15.75" customHeight="1">
      <c r="A88" s="14">
        <v>45744.0</v>
      </c>
      <c r="B88" s="5">
        <f>'JAN25'!$F88+'JAN25'!$G88</f>
        <v>0</v>
      </c>
      <c r="C88" s="5">
        <v>150.0</v>
      </c>
      <c r="D88" s="5">
        <f>D87+'JAN25'!$B88</f>
        <v>2619</v>
      </c>
      <c r="E88" s="5">
        <f>E87+'JAN25'!$C88</f>
        <v>4200</v>
      </c>
      <c r="F88" s="6"/>
      <c r="G88" s="6"/>
    </row>
    <row r="89" ht="15.75" customHeight="1">
      <c r="A89" s="14">
        <v>45745.0</v>
      </c>
      <c r="B89" s="6"/>
      <c r="C89" s="5">
        <v>150.0</v>
      </c>
      <c r="D89" s="5">
        <f>D88+'JAN25'!$B89</f>
        <v>2619</v>
      </c>
      <c r="E89" s="5">
        <f>E88+'JAN25'!$C89</f>
        <v>4350</v>
      </c>
      <c r="F89" s="6"/>
      <c r="G89" s="6"/>
    </row>
    <row r="90" ht="15.75" customHeight="1">
      <c r="A90" s="14">
        <v>45746.0</v>
      </c>
      <c r="B90" s="6"/>
      <c r="C90" s="5">
        <v>150.0</v>
      </c>
      <c r="D90" s="5">
        <f>D89+'JAN25'!$B90</f>
        <v>2619</v>
      </c>
      <c r="E90" s="5">
        <f>E89+'JAN25'!$C90</f>
        <v>4500</v>
      </c>
      <c r="F90" s="6"/>
      <c r="G90" s="6"/>
    </row>
    <row r="91" ht="15.75" customHeight="1">
      <c r="A91" s="14">
        <v>45747.0</v>
      </c>
      <c r="B91" s="6"/>
      <c r="C91" s="5">
        <v>150.0</v>
      </c>
      <c r="D91" s="5">
        <f>D90+'JAN25'!$B91</f>
        <v>2619</v>
      </c>
      <c r="E91" s="5">
        <f>E90+'JAN25'!$C91</f>
        <v>4650</v>
      </c>
      <c r="F91" s="6"/>
      <c r="G91" s="6"/>
    </row>
    <row r="92" ht="15.75" customHeight="1">
      <c r="A92" s="15">
        <v>45748.0</v>
      </c>
      <c r="B92" s="6">
        <f>'JAN25'!$F92+'JAN25'!$G92</f>
        <v>0</v>
      </c>
      <c r="C92" s="6">
        <v>150.0</v>
      </c>
      <c r="D92" s="6">
        <f>'JAN25'!$B92</f>
        <v>0</v>
      </c>
      <c r="E92" s="6">
        <f>'JAN25'!$C92</f>
        <v>150</v>
      </c>
      <c r="F92" s="6"/>
      <c r="G92" s="6"/>
      <c r="I92" s="7" t="s">
        <v>7</v>
      </c>
      <c r="J92" s="9">
        <v>300.0</v>
      </c>
      <c r="L92" s="8" t="s">
        <v>25</v>
      </c>
      <c r="M92" s="7">
        <v>63000.0</v>
      </c>
    </row>
    <row r="93" ht="15.75" customHeight="1">
      <c r="A93" s="15">
        <v>45749.0</v>
      </c>
      <c r="B93" s="6">
        <f>'JAN25'!$F93+'JAN25'!$G93</f>
        <v>0</v>
      </c>
      <c r="C93" s="6">
        <v>150.0</v>
      </c>
      <c r="D93" s="6">
        <f>'JAN25'!$B93+D92</f>
        <v>0</v>
      </c>
      <c r="E93" s="6">
        <f>'JAN25'!$C93+E92</f>
        <v>300</v>
      </c>
      <c r="F93" s="6"/>
      <c r="G93" s="6"/>
      <c r="I93" s="7" t="s">
        <v>8</v>
      </c>
      <c r="J93" s="7">
        <v>2000.0</v>
      </c>
    </row>
    <row r="94" ht="15.75" customHeight="1">
      <c r="A94" s="15">
        <v>45750.0</v>
      </c>
      <c r="B94" s="6">
        <f>'JAN25'!$F94+'JAN25'!$G94</f>
        <v>0</v>
      </c>
      <c r="C94" s="6">
        <v>150.0</v>
      </c>
      <c r="D94" s="6">
        <f>'JAN25'!$B94+D93</f>
        <v>0</v>
      </c>
      <c r="E94" s="6">
        <f>'JAN25'!$C94+E93</f>
        <v>450</v>
      </c>
      <c r="F94" s="6"/>
      <c r="G94" s="6"/>
      <c r="I94" s="7" t="s">
        <v>19</v>
      </c>
      <c r="J94" s="7">
        <v>500.0</v>
      </c>
    </row>
    <row r="95" ht="15.75" customHeight="1">
      <c r="A95" s="15">
        <v>45751.0</v>
      </c>
      <c r="B95" s="6">
        <f>'JAN25'!$F95+'JAN25'!$G95</f>
        <v>0</v>
      </c>
      <c r="C95" s="6">
        <v>150.0</v>
      </c>
      <c r="D95" s="6">
        <f>'JAN25'!$B95+D94</f>
        <v>0</v>
      </c>
      <c r="E95" s="6">
        <f>'JAN25'!$C95+E94</f>
        <v>600</v>
      </c>
      <c r="F95" s="6"/>
      <c r="G95" s="6"/>
      <c r="I95" s="7" t="s">
        <v>11</v>
      </c>
      <c r="J95" s="7">
        <f>D121</f>
        <v>1614</v>
      </c>
    </row>
    <row r="96" ht="15.75" customHeight="1">
      <c r="A96" s="15">
        <v>45752.0</v>
      </c>
      <c r="B96" s="6">
        <f>'JAN25'!$F96+'JAN25'!$G96</f>
        <v>0</v>
      </c>
      <c r="C96" s="6">
        <v>150.0</v>
      </c>
      <c r="D96" s="6">
        <f>'JAN25'!$B96+D95</f>
        <v>0</v>
      </c>
      <c r="E96" s="6">
        <f>'JAN25'!$C96+E95</f>
        <v>750</v>
      </c>
      <c r="F96" s="6"/>
      <c r="G96" s="6"/>
      <c r="I96" s="7" t="s">
        <v>26</v>
      </c>
      <c r="J96" s="7">
        <v>2600.0</v>
      </c>
    </row>
    <row r="97" ht="15.75" customHeight="1">
      <c r="A97" s="15">
        <v>45753.0</v>
      </c>
      <c r="B97" s="6">
        <f>'JAN25'!$F97+'JAN25'!$G97</f>
        <v>0</v>
      </c>
      <c r="C97" s="6">
        <v>150.0</v>
      </c>
      <c r="D97" s="6">
        <f>'JAN25'!$B97+D96</f>
        <v>0</v>
      </c>
      <c r="E97" s="6">
        <f>'JAN25'!$C97+E96</f>
        <v>900</v>
      </c>
      <c r="F97" s="6"/>
      <c r="G97" s="6"/>
      <c r="I97" s="7" t="s">
        <v>10</v>
      </c>
      <c r="J97" s="7">
        <v>7000.0</v>
      </c>
    </row>
    <row r="98" ht="15.75" customHeight="1">
      <c r="A98" s="15">
        <v>45754.0</v>
      </c>
      <c r="B98" s="6">
        <f>'JAN25'!$F98+'JAN25'!$G98</f>
        <v>30</v>
      </c>
      <c r="C98" s="6">
        <v>150.0</v>
      </c>
      <c r="D98" s="6">
        <f>'JAN25'!$B98+D97</f>
        <v>30</v>
      </c>
      <c r="E98" s="6">
        <f>'JAN25'!$C98+E97</f>
        <v>1050</v>
      </c>
      <c r="F98" s="6">
        <v>30.0</v>
      </c>
      <c r="G98" s="6"/>
      <c r="I98" s="7" t="s">
        <v>23</v>
      </c>
      <c r="J98" s="7">
        <f>800+1480+600</f>
        <v>2880</v>
      </c>
    </row>
    <row r="99" ht="15.75" customHeight="1">
      <c r="A99" s="15">
        <v>45755.0</v>
      </c>
      <c r="B99" s="6">
        <f>'JAN25'!$F99+'JAN25'!$G99</f>
        <v>85</v>
      </c>
      <c r="C99" s="6">
        <v>150.0</v>
      </c>
      <c r="D99" s="6">
        <f>'JAN25'!$B99+D98</f>
        <v>115</v>
      </c>
      <c r="E99" s="6">
        <f>'JAN25'!$C99+E98</f>
        <v>1200</v>
      </c>
      <c r="F99" s="6">
        <v>65.0</v>
      </c>
      <c r="G99" s="6">
        <v>20.0</v>
      </c>
      <c r="I99" s="7" t="s">
        <v>14</v>
      </c>
      <c r="J99" s="7">
        <v>2000.0</v>
      </c>
    </row>
    <row r="100" ht="15.75" customHeight="1">
      <c r="A100" s="15">
        <v>45756.0</v>
      </c>
      <c r="B100" s="6">
        <f>'JAN25'!$F100+'JAN25'!$G100</f>
        <v>40</v>
      </c>
      <c r="C100" s="6">
        <v>150.0</v>
      </c>
      <c r="D100" s="6">
        <f>'JAN25'!$B100+D99</f>
        <v>155</v>
      </c>
      <c r="E100" s="6">
        <f>'JAN25'!$C100+E99</f>
        <v>1350</v>
      </c>
      <c r="F100" s="6">
        <v>40.0</v>
      </c>
      <c r="G100" s="6"/>
      <c r="I100" s="7" t="s">
        <v>27</v>
      </c>
      <c r="J100" s="7">
        <v>140.0</v>
      </c>
    </row>
    <row r="101" ht="15.75" customHeight="1">
      <c r="A101" s="15">
        <v>45757.0</v>
      </c>
      <c r="B101" s="6">
        <f>'JAN25'!$F101+'JAN25'!$G101</f>
        <v>20</v>
      </c>
      <c r="C101" s="6">
        <v>150.0</v>
      </c>
      <c r="D101" s="6">
        <f>'JAN25'!$B101+D100</f>
        <v>175</v>
      </c>
      <c r="E101" s="6">
        <f>'JAN25'!$C101+E100</f>
        <v>1500</v>
      </c>
      <c r="F101" s="6">
        <v>20.0</v>
      </c>
      <c r="G101" s="6"/>
      <c r="I101" s="7" t="s">
        <v>28</v>
      </c>
      <c r="J101" s="7">
        <v>2400.0</v>
      </c>
    </row>
    <row r="102" ht="15.75" customHeight="1">
      <c r="A102" s="15">
        <v>45758.0</v>
      </c>
      <c r="B102" s="6">
        <f>'JAN25'!$F102+'JAN25'!$G102</f>
        <v>0</v>
      </c>
      <c r="C102" s="6">
        <v>150.0</v>
      </c>
      <c r="D102" s="6">
        <f>'JAN25'!$B102+D101</f>
        <v>175</v>
      </c>
      <c r="E102" s="6">
        <f>'JAN25'!$C102+E101</f>
        <v>1650</v>
      </c>
      <c r="F102" s="6"/>
      <c r="G102" s="6"/>
      <c r="I102" s="7" t="s">
        <v>17</v>
      </c>
      <c r="J102" s="9">
        <v>500.0</v>
      </c>
    </row>
    <row r="103" ht="15.75" customHeight="1">
      <c r="A103" s="15">
        <v>45759.0</v>
      </c>
      <c r="B103" s="6">
        <f>'JAN25'!$F103+'JAN25'!$G103</f>
        <v>85</v>
      </c>
      <c r="C103" s="6">
        <v>150.0</v>
      </c>
      <c r="D103" s="6">
        <f>'JAN25'!$B103+D102</f>
        <v>260</v>
      </c>
      <c r="E103" s="6">
        <f>'JAN25'!$C103+E102</f>
        <v>1800</v>
      </c>
      <c r="F103" s="6">
        <v>85.0</v>
      </c>
      <c r="G103" s="6"/>
    </row>
    <row r="104" ht="15.75" customHeight="1">
      <c r="A104" s="15">
        <v>45760.0</v>
      </c>
      <c r="B104" s="6">
        <f>'JAN25'!$F104+'JAN25'!$G104</f>
        <v>150</v>
      </c>
      <c r="C104" s="6">
        <v>150.0</v>
      </c>
      <c r="D104" s="6">
        <f>'JAN25'!$B104+D103</f>
        <v>410</v>
      </c>
      <c r="E104" s="6">
        <f>'JAN25'!$C104+E103</f>
        <v>1950</v>
      </c>
      <c r="F104" s="6">
        <v>150.0</v>
      </c>
      <c r="G104" s="6"/>
    </row>
    <row r="105" ht="15.75" customHeight="1">
      <c r="A105" s="15">
        <v>45761.0</v>
      </c>
      <c r="B105" s="6">
        <f>'JAN25'!$F105+'JAN25'!$G105</f>
        <v>25</v>
      </c>
      <c r="C105" s="6">
        <v>150.0</v>
      </c>
      <c r="D105" s="6">
        <f>'JAN25'!$B105+D104</f>
        <v>435</v>
      </c>
      <c r="E105" s="6">
        <f>'JAN25'!$C105+E104</f>
        <v>2100</v>
      </c>
      <c r="F105" s="6">
        <v>25.0</v>
      </c>
      <c r="G105" s="6"/>
    </row>
    <row r="106" ht="15.75" customHeight="1">
      <c r="A106" s="15">
        <v>45762.0</v>
      </c>
      <c r="B106" s="6">
        <f>'JAN25'!$F106+'JAN25'!$G106</f>
        <v>65</v>
      </c>
      <c r="C106" s="6">
        <v>150.0</v>
      </c>
      <c r="D106" s="6">
        <f>'JAN25'!$B106+D105</f>
        <v>500</v>
      </c>
      <c r="E106" s="6">
        <f>'JAN25'!$C106+E105</f>
        <v>2250</v>
      </c>
      <c r="F106" s="6">
        <v>65.0</v>
      </c>
      <c r="G106" s="6"/>
    </row>
    <row r="107" ht="15.75" customHeight="1">
      <c r="A107" s="15">
        <v>45763.0</v>
      </c>
      <c r="B107" s="6">
        <f>'JAN25'!$F107+'JAN25'!$G107</f>
        <v>80</v>
      </c>
      <c r="C107" s="6">
        <v>150.0</v>
      </c>
      <c r="D107" s="6">
        <f>'JAN25'!$B107+D106</f>
        <v>580</v>
      </c>
      <c r="E107" s="6">
        <f>'JAN25'!$C107+E106</f>
        <v>2400</v>
      </c>
      <c r="F107" s="6">
        <v>80.0</v>
      </c>
      <c r="G107" s="6"/>
    </row>
    <row r="108" ht="15.75" customHeight="1">
      <c r="A108" s="15">
        <v>45764.0</v>
      </c>
      <c r="B108" s="6">
        <f>'JAN25'!$F108+'JAN25'!$G108</f>
        <v>50</v>
      </c>
      <c r="C108" s="6">
        <v>150.0</v>
      </c>
      <c r="D108" s="6">
        <f>'JAN25'!$B108+D107</f>
        <v>630</v>
      </c>
      <c r="E108" s="6">
        <f>'JAN25'!$C108+E107</f>
        <v>2550</v>
      </c>
      <c r="F108" s="6">
        <v>50.0</v>
      </c>
      <c r="G108" s="6"/>
    </row>
    <row r="109" ht="15.75" customHeight="1">
      <c r="A109" s="15">
        <v>45765.0</v>
      </c>
      <c r="B109" s="6">
        <f>'JAN25'!$F109+'JAN25'!$G109</f>
        <v>60</v>
      </c>
      <c r="C109" s="6">
        <v>150.0</v>
      </c>
      <c r="D109" s="6">
        <f>'JAN25'!$B109+D108</f>
        <v>690</v>
      </c>
      <c r="E109" s="6">
        <f>'JAN25'!$C109+E108</f>
        <v>2700</v>
      </c>
      <c r="F109" s="6">
        <v>60.0</v>
      </c>
      <c r="G109" s="6"/>
    </row>
    <row r="110" ht="15.75" customHeight="1">
      <c r="A110" s="15">
        <v>45766.0</v>
      </c>
      <c r="B110" s="6">
        <f>'JAN25'!$F110+'JAN25'!$G110</f>
        <v>106</v>
      </c>
      <c r="C110" s="6">
        <v>150.0</v>
      </c>
      <c r="D110" s="6">
        <f>'JAN25'!$B110+D109</f>
        <v>796</v>
      </c>
      <c r="E110" s="6">
        <f>'JAN25'!$C110+E109</f>
        <v>2850</v>
      </c>
      <c r="F110" s="6"/>
      <c r="G110" s="6">
        <f>66+40</f>
        <v>106</v>
      </c>
    </row>
    <row r="111" ht="15.75" customHeight="1">
      <c r="A111" s="15">
        <v>45767.0</v>
      </c>
      <c r="B111" s="6">
        <f>'JAN25'!$F111+'JAN25'!$G111</f>
        <v>80</v>
      </c>
      <c r="C111" s="6">
        <v>150.0</v>
      </c>
      <c r="D111" s="6">
        <f>'JAN25'!$B111+D110</f>
        <v>876</v>
      </c>
      <c r="E111" s="6">
        <f>'JAN25'!$C111+E110</f>
        <v>3000</v>
      </c>
      <c r="F111" s="6">
        <f>20+60</f>
        <v>80</v>
      </c>
      <c r="G111" s="6"/>
    </row>
    <row r="112" ht="15.75" customHeight="1">
      <c r="A112" s="15">
        <v>45768.0</v>
      </c>
      <c r="B112" s="6">
        <f>'JAN25'!$F112+'JAN25'!$G112</f>
        <v>65</v>
      </c>
      <c r="C112" s="6">
        <v>150.0</v>
      </c>
      <c r="D112" s="6">
        <f>'JAN25'!$B112+D111</f>
        <v>941</v>
      </c>
      <c r="E112" s="6">
        <f>'JAN25'!$C112+E111</f>
        <v>3150</v>
      </c>
      <c r="F112" s="6">
        <f>20+25</f>
        <v>45</v>
      </c>
      <c r="G112" s="6">
        <v>20.0</v>
      </c>
    </row>
    <row r="113" ht="15.75" customHeight="1">
      <c r="A113" s="15">
        <v>45769.0</v>
      </c>
      <c r="B113" s="6">
        <f>'JAN25'!$F113+'JAN25'!$G113</f>
        <v>70</v>
      </c>
      <c r="C113" s="6">
        <v>150.0</v>
      </c>
      <c r="D113" s="6">
        <f>'JAN25'!$B113+D112</f>
        <v>1011</v>
      </c>
      <c r="E113" s="6">
        <f>'JAN25'!$C113+E112</f>
        <v>3300</v>
      </c>
      <c r="F113" s="6">
        <v>70.0</v>
      </c>
      <c r="G113" s="6"/>
    </row>
    <row r="114" ht="15.75" customHeight="1">
      <c r="A114" s="15">
        <v>45770.0</v>
      </c>
      <c r="B114" s="6">
        <f>'JAN25'!$F114+'JAN25'!$G114</f>
        <v>72</v>
      </c>
      <c r="C114" s="6">
        <v>150.0</v>
      </c>
      <c r="D114" s="6">
        <f>'JAN25'!$B114+D113</f>
        <v>1083</v>
      </c>
      <c r="E114" s="6">
        <f>'JAN25'!$C114+E113</f>
        <v>3450</v>
      </c>
      <c r="F114" s="6">
        <v>72.0</v>
      </c>
      <c r="G114" s="6"/>
    </row>
    <row r="115" ht="15.75" customHeight="1">
      <c r="A115" s="15">
        <v>45771.0</v>
      </c>
      <c r="B115" s="6">
        <f>'JAN25'!$F115+'JAN25'!$G115</f>
        <v>60</v>
      </c>
      <c r="C115" s="6">
        <v>150.0</v>
      </c>
      <c r="D115" s="6">
        <f>'JAN25'!$B115+D114</f>
        <v>1143</v>
      </c>
      <c r="E115" s="6">
        <f>'JAN25'!$C115+E114</f>
        <v>3600</v>
      </c>
      <c r="F115" s="6">
        <v>60.0</v>
      </c>
      <c r="G115" s="6"/>
    </row>
    <row r="116" ht="15.75" customHeight="1">
      <c r="A116" s="15">
        <v>45772.0</v>
      </c>
      <c r="B116" s="6">
        <f>'JAN25'!$F116+'JAN25'!$G116</f>
        <v>145</v>
      </c>
      <c r="C116" s="6">
        <v>150.0</v>
      </c>
      <c r="D116" s="6">
        <f>'JAN25'!$B116+D115</f>
        <v>1288</v>
      </c>
      <c r="E116" s="6">
        <f>'JAN25'!$C116+E115</f>
        <v>3750</v>
      </c>
      <c r="F116" s="6">
        <v>145.0</v>
      </c>
      <c r="G116" s="6"/>
    </row>
    <row r="117" ht="15.75" customHeight="1">
      <c r="A117" s="15">
        <v>45773.0</v>
      </c>
      <c r="B117" s="6">
        <f>'JAN25'!$F117+'JAN25'!$G117</f>
        <v>65</v>
      </c>
      <c r="C117" s="6">
        <v>150.0</v>
      </c>
      <c r="D117" s="6">
        <f>'JAN25'!$B117+D116</f>
        <v>1353</v>
      </c>
      <c r="E117" s="6">
        <f>'JAN25'!$C117+E116</f>
        <v>3900</v>
      </c>
      <c r="F117" s="6">
        <f>30+10+25</f>
        <v>65</v>
      </c>
      <c r="G117" s="6"/>
    </row>
    <row r="118" ht="15.75" customHeight="1">
      <c r="A118" s="15">
        <v>45774.0</v>
      </c>
      <c r="B118" s="6">
        <f>'JAN25'!$F118+'JAN25'!$G118</f>
        <v>171</v>
      </c>
      <c r="C118" s="6">
        <v>150.0</v>
      </c>
      <c r="D118" s="6">
        <f>'JAN25'!$B118+D117</f>
        <v>1524</v>
      </c>
      <c r="E118" s="6">
        <f>'JAN25'!$C118+E117</f>
        <v>4050</v>
      </c>
      <c r="F118" s="6">
        <f>126+15+30</f>
        <v>171</v>
      </c>
      <c r="G118" s="6"/>
    </row>
    <row r="119" ht="15.75" customHeight="1">
      <c r="A119" s="15">
        <v>45775.0</v>
      </c>
      <c r="B119" s="6">
        <f>'JAN25'!$F119+'JAN25'!$G119</f>
        <v>50</v>
      </c>
      <c r="C119" s="6">
        <v>150.0</v>
      </c>
      <c r="D119" s="6">
        <f>'JAN25'!$B119+D118</f>
        <v>1574</v>
      </c>
      <c r="E119" s="6">
        <f>'JAN25'!$C119+E118</f>
        <v>4200</v>
      </c>
      <c r="F119" s="6">
        <v>50.0</v>
      </c>
      <c r="G119" s="6"/>
    </row>
    <row r="120" ht="15.75" customHeight="1">
      <c r="A120" s="15">
        <v>45776.0</v>
      </c>
      <c r="B120" s="6">
        <f>'JAN25'!$F120+'JAN25'!$G120</f>
        <v>40</v>
      </c>
      <c r="C120" s="6">
        <v>150.0</v>
      </c>
      <c r="D120" s="6">
        <f>'JAN25'!$B120+D119</f>
        <v>1614</v>
      </c>
      <c r="E120" s="6">
        <f>'JAN25'!$C120+E119</f>
        <v>4350</v>
      </c>
      <c r="F120" s="6">
        <v>40.0</v>
      </c>
      <c r="G120" s="6"/>
    </row>
    <row r="121" ht="15.75" customHeight="1">
      <c r="A121" s="15">
        <v>45777.0</v>
      </c>
      <c r="B121" s="6">
        <f>'JAN25'!$F121+'JAN25'!$G121</f>
        <v>0</v>
      </c>
      <c r="C121" s="6">
        <v>150.0</v>
      </c>
      <c r="D121" s="6">
        <f>'JAN25'!$B121+D120</f>
        <v>1614</v>
      </c>
      <c r="E121" s="6">
        <f>'JAN25'!$C121+E120</f>
        <v>4500</v>
      </c>
      <c r="F121" s="6"/>
      <c r="G121" s="6"/>
    </row>
    <row r="122" ht="15.75" customHeight="1">
      <c r="A122" s="16">
        <v>45778.0</v>
      </c>
      <c r="B122" s="6">
        <f>'JAN25'!$F122+'JAN25'!$G122</f>
        <v>52</v>
      </c>
      <c r="C122" s="6">
        <v>150.0</v>
      </c>
      <c r="D122" s="6">
        <f>'JAN25'!$B122</f>
        <v>52</v>
      </c>
      <c r="E122" s="6">
        <f>'JAN25'!$C122</f>
        <v>150</v>
      </c>
      <c r="F122" s="6">
        <f>12+40</f>
        <v>52</v>
      </c>
      <c r="G122" s="6"/>
      <c r="I122" s="7" t="s">
        <v>7</v>
      </c>
      <c r="J122" s="9">
        <v>800.0</v>
      </c>
      <c r="L122" s="8" t="s">
        <v>29</v>
      </c>
      <c r="M122" s="7">
        <v>66000.0</v>
      </c>
    </row>
    <row r="123" ht="15.75" customHeight="1">
      <c r="A123" s="16">
        <v>45779.0</v>
      </c>
      <c r="B123" s="6">
        <f>'JAN25'!$F123+'JAN25'!$G123</f>
        <v>120</v>
      </c>
      <c r="C123" s="6">
        <v>150.0</v>
      </c>
      <c r="D123" s="6">
        <f>D122+'JAN25'!$B123</f>
        <v>172</v>
      </c>
      <c r="E123" s="6">
        <f>'JAN25'!$C123+E122</f>
        <v>300</v>
      </c>
      <c r="F123" s="6">
        <f>10+60+50</f>
        <v>120</v>
      </c>
      <c r="G123" s="6"/>
      <c r="I123" s="7" t="s">
        <v>8</v>
      </c>
      <c r="J123" s="7">
        <v>2000.0</v>
      </c>
    </row>
    <row r="124" ht="15.75" customHeight="1">
      <c r="A124" s="16">
        <v>45780.0</v>
      </c>
      <c r="B124" s="6">
        <f>'JAN25'!$F124+'JAN25'!$G124</f>
        <v>79</v>
      </c>
      <c r="C124" s="6">
        <v>150.0</v>
      </c>
      <c r="D124" s="6">
        <f>D123+'JAN25'!$B124</f>
        <v>251</v>
      </c>
      <c r="E124" s="6">
        <f>'JAN25'!$C124+E123</f>
        <v>450</v>
      </c>
      <c r="F124" s="6">
        <f>15+10</f>
        <v>25</v>
      </c>
      <c r="G124" s="6">
        <v>54.0</v>
      </c>
      <c r="I124" s="7" t="s">
        <v>19</v>
      </c>
      <c r="J124" s="7">
        <v>500.0</v>
      </c>
    </row>
    <row r="125" ht="15.75" customHeight="1">
      <c r="A125" s="16">
        <v>45781.0</v>
      </c>
      <c r="B125" s="6">
        <f>'JAN25'!$F125+'JAN25'!$G125</f>
        <v>210</v>
      </c>
      <c r="C125" s="6">
        <v>150.0</v>
      </c>
      <c r="D125" s="6">
        <f>D124+'JAN25'!$B125</f>
        <v>461</v>
      </c>
      <c r="E125" s="6">
        <f>'JAN25'!$C125+E124</f>
        <v>600</v>
      </c>
      <c r="F125" s="6">
        <f>40+80+60+30</f>
        <v>210</v>
      </c>
      <c r="G125" s="6"/>
      <c r="I125" s="7" t="s">
        <v>11</v>
      </c>
      <c r="J125" s="7">
        <f>D152</f>
        <v>2697</v>
      </c>
      <c r="K125" s="2">
        <f>J125/25000</f>
        <v>0.10788</v>
      </c>
    </row>
    <row r="126" ht="15.75" customHeight="1">
      <c r="A126" s="16">
        <v>45782.0</v>
      </c>
      <c r="B126" s="6">
        <f>'JAN25'!$F126+'JAN25'!$G126</f>
        <v>60</v>
      </c>
      <c r="C126" s="6">
        <v>150.0</v>
      </c>
      <c r="D126" s="6">
        <f>D125+'JAN25'!$B126</f>
        <v>521</v>
      </c>
      <c r="E126" s="6">
        <f>'JAN25'!$C126+E125</f>
        <v>750</v>
      </c>
      <c r="F126" s="6">
        <v>60.0</v>
      </c>
      <c r="G126" s="6"/>
      <c r="I126" s="7" t="s">
        <v>30</v>
      </c>
      <c r="J126" s="7">
        <v>400.0</v>
      </c>
    </row>
    <row r="127" ht="24.0" customHeight="1">
      <c r="A127" s="16">
        <v>45783.0</v>
      </c>
      <c r="B127" s="6">
        <f>'JAN25'!$F127+'JAN25'!$G127</f>
        <v>95</v>
      </c>
      <c r="C127" s="6">
        <v>150.0</v>
      </c>
      <c r="D127" s="6">
        <f>D126+'JAN25'!$B127</f>
        <v>616</v>
      </c>
      <c r="E127" s="6">
        <f>'JAN25'!$C127+E126</f>
        <v>900</v>
      </c>
      <c r="F127" s="6">
        <f>25+20+20+30</f>
        <v>95</v>
      </c>
      <c r="G127" s="6"/>
      <c r="I127" s="7" t="s">
        <v>10</v>
      </c>
      <c r="J127" s="7">
        <v>7000.0</v>
      </c>
      <c r="K127" s="2">
        <f>J127/25000</f>
        <v>0.28</v>
      </c>
    </row>
    <row r="128" ht="15.75" customHeight="1">
      <c r="A128" s="16">
        <v>45784.0</v>
      </c>
      <c r="B128" s="6">
        <f>'JAN25'!$F128+'JAN25'!$G128</f>
        <v>50</v>
      </c>
      <c r="C128" s="6">
        <v>150.0</v>
      </c>
      <c r="D128" s="6">
        <f>D127+'JAN25'!$B128</f>
        <v>666</v>
      </c>
      <c r="E128" s="6">
        <f>'JAN25'!$C128+E127</f>
        <v>1050</v>
      </c>
      <c r="F128" s="6">
        <v>10.0</v>
      </c>
      <c r="G128" s="6">
        <v>40.0</v>
      </c>
      <c r="I128" s="7" t="s">
        <v>14</v>
      </c>
      <c r="J128" s="7">
        <v>2000.0</v>
      </c>
    </row>
    <row r="129" ht="15.75" customHeight="1">
      <c r="A129" s="16">
        <v>45785.0</v>
      </c>
      <c r="B129" s="6">
        <f>'JAN25'!$F129+'JAN25'!$G129</f>
        <v>70</v>
      </c>
      <c r="C129" s="6">
        <v>150.0</v>
      </c>
      <c r="D129" s="6">
        <f>D128+'JAN25'!$B129</f>
        <v>736</v>
      </c>
      <c r="E129" s="6">
        <f>'JAN25'!$C129+E128</f>
        <v>1200</v>
      </c>
      <c r="F129" s="6">
        <f>70</f>
        <v>70</v>
      </c>
      <c r="G129" s="6"/>
      <c r="I129" s="7" t="s">
        <v>31</v>
      </c>
      <c r="J129" s="7">
        <v>1900.0</v>
      </c>
    </row>
    <row r="130" ht="15.75" customHeight="1">
      <c r="A130" s="16">
        <v>45786.0</v>
      </c>
      <c r="B130" s="6">
        <f>'JAN25'!$F130+'JAN25'!$G130</f>
        <v>100</v>
      </c>
      <c r="C130" s="6">
        <v>150.0</v>
      </c>
      <c r="D130" s="6">
        <f>D129+'JAN25'!$B130</f>
        <v>836</v>
      </c>
      <c r="E130" s="6">
        <f>'JAN25'!$C130+E129</f>
        <v>1350</v>
      </c>
      <c r="F130" s="6">
        <f>70+30</f>
        <v>100</v>
      </c>
      <c r="G130" s="6"/>
      <c r="I130" s="7" t="s">
        <v>27</v>
      </c>
      <c r="J130" s="7">
        <f>55+120</f>
        <v>175</v>
      </c>
    </row>
    <row r="131" ht="15.75" customHeight="1">
      <c r="A131" s="16">
        <v>45787.0</v>
      </c>
      <c r="B131" s="6">
        <f>'JAN25'!$F131+'JAN25'!$G131</f>
        <v>83</v>
      </c>
      <c r="C131" s="6">
        <v>150.0</v>
      </c>
      <c r="D131" s="6">
        <f>D130+'JAN25'!$B131</f>
        <v>919</v>
      </c>
      <c r="E131" s="6">
        <f>'JAN25'!$C131+E130</f>
        <v>1500</v>
      </c>
      <c r="F131" s="6">
        <f>38+15+20+10</f>
        <v>83</v>
      </c>
      <c r="G131" s="6"/>
      <c r="I131" s="7" t="s">
        <v>15</v>
      </c>
      <c r="J131" s="7">
        <v>580.0</v>
      </c>
    </row>
    <row r="132" ht="15.75" customHeight="1">
      <c r="A132" s="16">
        <v>45788.0</v>
      </c>
      <c r="B132" s="6">
        <f>'JAN25'!$F132+'JAN25'!$G132</f>
        <v>140</v>
      </c>
      <c r="C132" s="6">
        <v>150.0</v>
      </c>
      <c r="D132" s="6">
        <f>D131+'JAN25'!$B132</f>
        <v>1059</v>
      </c>
      <c r="E132" s="6">
        <f>'JAN25'!$C132+E131</f>
        <v>1650</v>
      </c>
      <c r="F132" s="6">
        <f>10+60+70</f>
        <v>140</v>
      </c>
      <c r="G132" s="6"/>
      <c r="I132" s="7" t="s">
        <v>32</v>
      </c>
      <c r="J132" s="7">
        <v>79.0</v>
      </c>
    </row>
    <row r="133" ht="15.75" customHeight="1">
      <c r="A133" s="16">
        <v>45789.0</v>
      </c>
      <c r="B133" s="6">
        <f>'JAN25'!$F133+'JAN25'!$G133</f>
        <v>53</v>
      </c>
      <c r="C133" s="6">
        <v>150.0</v>
      </c>
      <c r="D133" s="6">
        <f>D132+'JAN25'!$B133</f>
        <v>1112</v>
      </c>
      <c r="E133" s="6">
        <f>'JAN25'!$C133+E132</f>
        <v>1800</v>
      </c>
      <c r="F133" s="6">
        <f>20+33</f>
        <v>53</v>
      </c>
      <c r="G133" s="6"/>
      <c r="I133" s="7" t="s">
        <v>33</v>
      </c>
      <c r="J133" s="7">
        <v>600.0</v>
      </c>
    </row>
    <row r="134" ht="15.75" customHeight="1">
      <c r="A134" s="16">
        <v>45790.0</v>
      </c>
      <c r="B134" s="6">
        <f>'JAN25'!$F134+'JAN25'!$G134</f>
        <v>170</v>
      </c>
      <c r="C134" s="6">
        <v>150.0</v>
      </c>
      <c r="D134" s="6">
        <f>D133+'JAN25'!$B134</f>
        <v>1282</v>
      </c>
      <c r="E134" s="6">
        <f>'JAN25'!$C134+E133</f>
        <v>1950</v>
      </c>
      <c r="F134" s="6">
        <v>170.0</v>
      </c>
      <c r="G134" s="6"/>
      <c r="I134" s="7" t="s">
        <v>17</v>
      </c>
      <c r="J134" s="9">
        <v>500.0</v>
      </c>
    </row>
    <row r="135" ht="15.75" customHeight="1">
      <c r="A135" s="16">
        <v>45791.0</v>
      </c>
      <c r="B135" s="6">
        <f>'JAN25'!$F135+'JAN25'!$G135</f>
        <v>40</v>
      </c>
      <c r="C135" s="6">
        <v>150.0</v>
      </c>
      <c r="D135" s="6">
        <f>D134+'JAN25'!$B135</f>
        <v>1322</v>
      </c>
      <c r="E135" s="6">
        <f>'JAN25'!$C135+E134</f>
        <v>2100</v>
      </c>
      <c r="F135" s="6">
        <v>40.0</v>
      </c>
      <c r="G135" s="6"/>
    </row>
    <row r="136" ht="15.75" customHeight="1">
      <c r="A136" s="16">
        <v>45792.0</v>
      </c>
      <c r="B136" s="6">
        <f>'JAN25'!$F136+'JAN25'!$G136</f>
        <v>65</v>
      </c>
      <c r="C136" s="6">
        <v>150.0</v>
      </c>
      <c r="D136" s="6">
        <f>D135+'JAN25'!$B136</f>
        <v>1387</v>
      </c>
      <c r="E136" s="6">
        <f>'JAN25'!$C136+E135</f>
        <v>2250</v>
      </c>
      <c r="F136" s="6">
        <f>55+10</f>
        <v>65</v>
      </c>
      <c r="G136" s="6"/>
    </row>
    <row r="137" ht="15.75" customHeight="1">
      <c r="A137" s="16">
        <v>45793.0</v>
      </c>
      <c r="B137" s="6">
        <f>'JAN25'!$F137+'JAN25'!$G137</f>
        <v>250</v>
      </c>
      <c r="C137" s="6">
        <v>150.0</v>
      </c>
      <c r="D137" s="6">
        <f>D136+'JAN25'!$B137</f>
        <v>1637</v>
      </c>
      <c r="E137" s="6">
        <f>'JAN25'!$C137+E136</f>
        <v>2400</v>
      </c>
      <c r="F137" s="6">
        <f>250</f>
        <v>250</v>
      </c>
      <c r="G137" s="6"/>
    </row>
    <row r="138" ht="15.75" customHeight="1">
      <c r="A138" s="16">
        <v>45794.0</v>
      </c>
      <c r="B138" s="6">
        <f>'JAN25'!$F138+'JAN25'!$G138</f>
        <v>20</v>
      </c>
      <c r="C138" s="6">
        <v>150.0</v>
      </c>
      <c r="D138" s="6">
        <f>D137+'JAN25'!$B138</f>
        <v>1657</v>
      </c>
      <c r="E138" s="6">
        <f>'JAN25'!$C138+E137</f>
        <v>2550</v>
      </c>
      <c r="F138" s="6">
        <v>20.0</v>
      </c>
      <c r="G138" s="6"/>
    </row>
    <row r="139" ht="15.75" customHeight="1">
      <c r="A139" s="16">
        <v>45795.0</v>
      </c>
      <c r="B139" s="6">
        <f>'JAN25'!$F139+'JAN25'!$G139</f>
        <v>140</v>
      </c>
      <c r="C139" s="6">
        <v>150.0</v>
      </c>
      <c r="D139" s="6">
        <f>D138+'JAN25'!$B139</f>
        <v>1797</v>
      </c>
      <c r="E139" s="6">
        <f>'JAN25'!$C139+E138</f>
        <v>2700</v>
      </c>
      <c r="F139" s="6">
        <v>45.0</v>
      </c>
      <c r="G139" s="6">
        <v>95.0</v>
      </c>
    </row>
    <row r="140" ht="15.75" customHeight="1">
      <c r="A140" s="16">
        <v>45796.0</v>
      </c>
      <c r="B140" s="6">
        <f>'JAN25'!$F140+'JAN25'!$G140</f>
        <v>110</v>
      </c>
      <c r="C140" s="6">
        <v>150.0</v>
      </c>
      <c r="D140" s="6">
        <f>D139+'JAN25'!$B140</f>
        <v>1907</v>
      </c>
      <c r="E140" s="6">
        <f>'JAN25'!$C140+E139</f>
        <v>2850</v>
      </c>
      <c r="F140" s="6">
        <v>30.0</v>
      </c>
      <c r="G140" s="6">
        <v>80.0</v>
      </c>
    </row>
    <row r="141" ht="15.75" customHeight="1">
      <c r="A141" s="16">
        <v>45797.0</v>
      </c>
      <c r="B141" s="6">
        <f>'JAN25'!$F141+'JAN25'!$G141</f>
        <v>50</v>
      </c>
      <c r="C141" s="6">
        <v>150.0</v>
      </c>
      <c r="D141" s="6">
        <f>D140+'JAN25'!$B141</f>
        <v>1957</v>
      </c>
      <c r="E141" s="6">
        <f>'JAN25'!$C141+E140</f>
        <v>3000</v>
      </c>
      <c r="F141" s="6">
        <v>50.0</v>
      </c>
      <c r="G141" s="6"/>
    </row>
    <row r="142" ht="15.75" customHeight="1">
      <c r="A142" s="16">
        <v>45798.0</v>
      </c>
      <c r="B142" s="6">
        <f>'JAN25'!$F142+'JAN25'!$G142</f>
        <v>30</v>
      </c>
      <c r="C142" s="6">
        <v>150.0</v>
      </c>
      <c r="D142" s="6">
        <f>D141+'JAN25'!$B142</f>
        <v>1987</v>
      </c>
      <c r="E142" s="6">
        <f>'JAN25'!$C142+E141</f>
        <v>3150</v>
      </c>
      <c r="F142" s="6">
        <v>30.0</v>
      </c>
      <c r="G142" s="6"/>
    </row>
    <row r="143" ht="15.75" customHeight="1">
      <c r="A143" s="16">
        <v>45799.0</v>
      </c>
      <c r="B143" s="6">
        <f>'JAN25'!$F143+'JAN25'!$G143</f>
        <v>50</v>
      </c>
      <c r="C143" s="6">
        <v>150.0</v>
      </c>
      <c r="D143" s="6">
        <f>D142+'JAN25'!$B143</f>
        <v>2037</v>
      </c>
      <c r="E143" s="6">
        <f>'JAN25'!$C143+E142</f>
        <v>3300</v>
      </c>
      <c r="F143" s="6">
        <v>50.0</v>
      </c>
      <c r="G143" s="6"/>
    </row>
    <row r="144" ht="15.75" customHeight="1">
      <c r="A144" s="16">
        <v>45800.0</v>
      </c>
      <c r="B144" s="6">
        <f>'JAN25'!$F144+'JAN25'!$G144</f>
        <v>55</v>
      </c>
      <c r="C144" s="6">
        <v>150.0</v>
      </c>
      <c r="D144" s="6">
        <f>D143+'JAN25'!$B144</f>
        <v>2092</v>
      </c>
      <c r="E144" s="6">
        <f>'JAN25'!$C144+E143</f>
        <v>3450</v>
      </c>
      <c r="F144" s="6">
        <f>40+15</f>
        <v>55</v>
      </c>
      <c r="G144" s="6"/>
    </row>
    <row r="145" ht="15.75" customHeight="1">
      <c r="A145" s="16">
        <v>45801.0</v>
      </c>
      <c r="B145" s="6">
        <f>'JAN25'!$F145+'JAN25'!$G145</f>
        <v>70</v>
      </c>
      <c r="C145" s="6">
        <v>150.0</v>
      </c>
      <c r="D145" s="6">
        <f>D144+'JAN25'!$B145</f>
        <v>2162</v>
      </c>
      <c r="E145" s="6">
        <f>'JAN25'!$C145+E144</f>
        <v>3600</v>
      </c>
      <c r="F145" s="6">
        <f>70</f>
        <v>70</v>
      </c>
      <c r="G145" s="6"/>
    </row>
    <row r="146" ht="15.75" customHeight="1">
      <c r="A146" s="16">
        <v>45802.0</v>
      </c>
      <c r="B146" s="6">
        <f>'JAN25'!$F146+'JAN25'!$G146</f>
        <v>115</v>
      </c>
      <c r="C146" s="6">
        <v>150.0</v>
      </c>
      <c r="D146" s="6">
        <f>D145+'JAN25'!$B146</f>
        <v>2277</v>
      </c>
      <c r="E146" s="6">
        <f>'JAN25'!$C146+E145</f>
        <v>3750</v>
      </c>
      <c r="F146" s="6">
        <v>115.0</v>
      </c>
      <c r="G146" s="6"/>
    </row>
    <row r="147" ht="15.75" customHeight="1">
      <c r="A147" s="16">
        <v>45803.0</v>
      </c>
      <c r="B147" s="6">
        <f>'JAN25'!$F147+'JAN25'!$G147</f>
        <v>15</v>
      </c>
      <c r="C147" s="6">
        <v>150.0</v>
      </c>
      <c r="D147" s="6">
        <f>D146+'JAN25'!$B147</f>
        <v>2292</v>
      </c>
      <c r="E147" s="6">
        <f>'JAN25'!$C147+E146</f>
        <v>3900</v>
      </c>
      <c r="F147" s="6">
        <v>15.0</v>
      </c>
      <c r="G147" s="6"/>
    </row>
    <row r="148" ht="15.75" customHeight="1">
      <c r="A148" s="16">
        <v>45804.0</v>
      </c>
      <c r="B148" s="6">
        <f>'JAN25'!$F148+'JAN25'!$G148</f>
        <v>140</v>
      </c>
      <c r="C148" s="6">
        <v>150.0</v>
      </c>
      <c r="D148" s="6">
        <f>D147+'JAN25'!$B148</f>
        <v>2432</v>
      </c>
      <c r="E148" s="6">
        <f>'JAN25'!$C148+E147</f>
        <v>4050</v>
      </c>
      <c r="F148" s="6">
        <f>25+20+60+35</f>
        <v>140</v>
      </c>
      <c r="G148" s="6"/>
    </row>
    <row r="149" ht="15.75" customHeight="1">
      <c r="A149" s="16">
        <v>45805.0</v>
      </c>
      <c r="B149" s="6">
        <f>'JAN25'!$F149+'JAN25'!$G149</f>
        <v>115</v>
      </c>
      <c r="C149" s="6">
        <v>150.0</v>
      </c>
      <c r="D149" s="6">
        <f>D148+'JAN25'!$B149</f>
        <v>2547</v>
      </c>
      <c r="E149" s="6">
        <f>'JAN25'!$C149+E148</f>
        <v>4200</v>
      </c>
      <c r="F149" s="6">
        <f>115</f>
        <v>115</v>
      </c>
      <c r="G149" s="6"/>
    </row>
    <row r="150" ht="15.75" customHeight="1">
      <c r="A150" s="16">
        <v>45806.0</v>
      </c>
      <c r="B150" s="6">
        <f>'JAN25'!$F150+'JAN25'!$G150</f>
        <v>0</v>
      </c>
      <c r="C150" s="6">
        <v>150.0</v>
      </c>
      <c r="D150" s="6">
        <f>D149+'JAN25'!$B150</f>
        <v>2547</v>
      </c>
      <c r="E150" s="6">
        <f>'JAN25'!$C150+E149</f>
        <v>4350</v>
      </c>
      <c r="F150" s="6">
        <v>0.0</v>
      </c>
      <c r="G150" s="6"/>
    </row>
    <row r="151" ht="15.75" customHeight="1">
      <c r="A151" s="16">
        <v>45807.0</v>
      </c>
      <c r="B151" s="6">
        <f>'JAN25'!$F151+'JAN25'!$G151</f>
        <v>0</v>
      </c>
      <c r="C151" s="6">
        <v>150.0</v>
      </c>
      <c r="D151" s="6">
        <f>D150+'JAN25'!$B151</f>
        <v>2547</v>
      </c>
      <c r="E151" s="6">
        <f>'JAN25'!$C151+E150</f>
        <v>4500</v>
      </c>
      <c r="F151" s="6">
        <v>0.0</v>
      </c>
      <c r="G151" s="6"/>
    </row>
    <row r="152" ht="15.75" customHeight="1">
      <c r="A152" s="16">
        <v>45808.0</v>
      </c>
      <c r="B152" s="6">
        <f>'JAN25'!$F152+'JAN25'!$G152</f>
        <v>150</v>
      </c>
      <c r="C152" s="6">
        <v>150.0</v>
      </c>
      <c r="D152" s="6">
        <f>D151+'JAN25'!$B152</f>
        <v>2697</v>
      </c>
      <c r="E152" s="6">
        <f>'JAN25'!$C152+E151</f>
        <v>4650</v>
      </c>
      <c r="F152" s="6">
        <v>50.0</v>
      </c>
      <c r="G152" s="6">
        <v>100.0</v>
      </c>
    </row>
    <row r="153" ht="15.75" customHeight="1">
      <c r="A153" s="15">
        <v>45809.0</v>
      </c>
      <c r="B153" s="6">
        <f>'JAN25'!$F153+'JAN25'!$G153</f>
        <v>200</v>
      </c>
      <c r="C153" s="6">
        <v>150.0</v>
      </c>
      <c r="D153" s="6">
        <f>'JAN25'!$B153</f>
        <v>200</v>
      </c>
      <c r="E153" s="6">
        <f>'JAN25'!$C153</f>
        <v>150</v>
      </c>
      <c r="F153" s="6">
        <f>15+40+60+70</f>
        <v>185</v>
      </c>
      <c r="G153" s="6">
        <f>15</f>
        <v>15</v>
      </c>
      <c r="I153" s="7" t="s">
        <v>7</v>
      </c>
      <c r="J153" s="9">
        <v>800.0</v>
      </c>
    </row>
    <row r="154" ht="15.75" customHeight="1">
      <c r="A154" s="15">
        <v>45810.0</v>
      </c>
      <c r="B154" s="6">
        <f>'JAN25'!$F154+'JAN25'!$G154</f>
        <v>0</v>
      </c>
      <c r="C154" s="6">
        <v>150.0</v>
      </c>
      <c r="D154" s="6">
        <f>D153+'JAN25'!$B154</f>
        <v>200</v>
      </c>
      <c r="E154" s="6">
        <f>E153+'JAN25'!$C154</f>
        <v>300</v>
      </c>
      <c r="F154" s="6">
        <v>0.0</v>
      </c>
      <c r="G154" s="6"/>
      <c r="I154" s="7" t="s">
        <v>8</v>
      </c>
      <c r="J154" s="7">
        <v>2500.0</v>
      </c>
    </row>
    <row r="155" ht="15.75" customHeight="1">
      <c r="A155" s="15">
        <v>45811.0</v>
      </c>
      <c r="B155" s="6">
        <f>'JAN25'!$F155+'JAN25'!$G155</f>
        <v>220</v>
      </c>
      <c r="C155" s="6">
        <v>150.0</v>
      </c>
      <c r="D155" s="6">
        <f>D154+'JAN25'!$B155</f>
        <v>420</v>
      </c>
      <c r="E155" s="6">
        <f>E154+'JAN25'!$C155</f>
        <v>450</v>
      </c>
      <c r="F155" s="6">
        <v>220.0</v>
      </c>
      <c r="G155" s="6"/>
      <c r="I155" s="7" t="s">
        <v>19</v>
      </c>
      <c r="J155" s="7">
        <v>500.0</v>
      </c>
    </row>
    <row r="156" ht="15.75" customHeight="1">
      <c r="A156" s="15">
        <v>45812.0</v>
      </c>
      <c r="B156" s="6">
        <f>'JAN25'!$F156+'JAN25'!$G156</f>
        <v>35</v>
      </c>
      <c r="C156" s="6">
        <v>150.0</v>
      </c>
      <c r="D156" s="6">
        <f>D155+'JAN25'!$B156</f>
        <v>455</v>
      </c>
      <c r="E156" s="6">
        <f>E155+'JAN25'!$C156</f>
        <v>600</v>
      </c>
      <c r="F156" s="6">
        <f>25+10</f>
        <v>35</v>
      </c>
      <c r="G156" s="6"/>
      <c r="I156" s="7" t="s">
        <v>11</v>
      </c>
      <c r="J156" s="7">
        <f>D182</f>
        <v>2570</v>
      </c>
    </row>
    <row r="157" ht="15.75" customHeight="1">
      <c r="A157" s="15">
        <v>45813.0</v>
      </c>
      <c r="B157" s="6">
        <f>'JAN25'!$F157+'JAN25'!$G157</f>
        <v>82</v>
      </c>
      <c r="C157" s="6">
        <v>150.0</v>
      </c>
      <c r="D157" s="6">
        <f>D156+'JAN25'!$B157</f>
        <v>537</v>
      </c>
      <c r="E157" s="6">
        <f>E156+'JAN25'!$C157</f>
        <v>750</v>
      </c>
      <c r="F157" s="6">
        <f>57+25</f>
        <v>82</v>
      </c>
      <c r="G157" s="6"/>
      <c r="I157" s="7" t="s">
        <v>14</v>
      </c>
      <c r="J157" s="7">
        <v>2500.0</v>
      </c>
    </row>
    <row r="158" ht="15.75" customHeight="1">
      <c r="A158" s="15">
        <v>45814.0</v>
      </c>
      <c r="B158" s="6">
        <f>'JAN25'!$F158+'JAN25'!$G158</f>
        <v>190</v>
      </c>
      <c r="C158" s="6">
        <v>150.0</v>
      </c>
      <c r="D158" s="6">
        <f>D157+'JAN25'!$B158</f>
        <v>727</v>
      </c>
      <c r="E158" s="6">
        <f>E157+'JAN25'!$C158</f>
        <v>900</v>
      </c>
      <c r="F158" s="6">
        <f>190</f>
        <v>190</v>
      </c>
      <c r="G158" s="6"/>
      <c r="I158" s="7" t="s">
        <v>10</v>
      </c>
      <c r="J158" s="7">
        <v>7000.0</v>
      </c>
    </row>
    <row r="159" ht="15.75" customHeight="1">
      <c r="A159" s="15">
        <v>45815.0</v>
      </c>
      <c r="B159" s="6">
        <f>'JAN25'!$F159+'JAN25'!$G159</f>
        <v>40</v>
      </c>
      <c r="C159" s="6">
        <v>150.0</v>
      </c>
      <c r="D159" s="6">
        <f>D158+'JAN25'!$B159</f>
        <v>767</v>
      </c>
      <c r="E159" s="6">
        <f>E158+'JAN25'!$C159</f>
        <v>1050</v>
      </c>
      <c r="F159" s="6">
        <v>40.0</v>
      </c>
      <c r="G159" s="6"/>
      <c r="I159" s="7" t="s">
        <v>34</v>
      </c>
      <c r="J159" s="7">
        <v>600.0</v>
      </c>
    </row>
    <row r="160" ht="15.75" customHeight="1">
      <c r="A160" s="15">
        <v>45816.0</v>
      </c>
      <c r="B160" s="6">
        <f>'JAN25'!$F160+'JAN25'!$G160</f>
        <v>190</v>
      </c>
      <c r="C160" s="6">
        <v>150.0</v>
      </c>
      <c r="D160" s="6">
        <f>D159+'JAN25'!$B160</f>
        <v>957</v>
      </c>
      <c r="E160" s="6">
        <f>E159+'JAN25'!$C160</f>
        <v>1200</v>
      </c>
      <c r="F160" s="6">
        <f>40+65+65</f>
        <v>170</v>
      </c>
      <c r="G160" s="6">
        <v>20.0</v>
      </c>
      <c r="I160" s="7" t="s">
        <v>27</v>
      </c>
      <c r="J160" s="7">
        <v>570.0</v>
      </c>
    </row>
    <row r="161" ht="15.75" customHeight="1">
      <c r="A161" s="15">
        <v>45817.0</v>
      </c>
      <c r="B161" s="6">
        <f>'JAN25'!$F161+'JAN25'!$G161</f>
        <v>90</v>
      </c>
      <c r="C161" s="6">
        <v>150.0</v>
      </c>
      <c r="D161" s="6">
        <f>D160+'JAN25'!$B161</f>
        <v>1047</v>
      </c>
      <c r="E161" s="6">
        <f>E160+'JAN25'!$C161</f>
        <v>1350</v>
      </c>
      <c r="F161" s="6">
        <f>60+20+10</f>
        <v>90</v>
      </c>
      <c r="G161" s="6"/>
      <c r="I161" s="7" t="s">
        <v>17</v>
      </c>
      <c r="J161" s="9">
        <v>500.0</v>
      </c>
    </row>
    <row r="162" ht="15.75" customHeight="1">
      <c r="A162" s="15">
        <v>45818.0</v>
      </c>
      <c r="B162" s="6">
        <f>'JAN25'!$F162+'JAN25'!$G162</f>
        <v>40</v>
      </c>
      <c r="C162" s="6">
        <v>150.0</v>
      </c>
      <c r="D162" s="6">
        <f>D161+'JAN25'!$B162</f>
        <v>1087</v>
      </c>
      <c r="E162" s="6">
        <f>E161+'JAN25'!$C162</f>
        <v>1500</v>
      </c>
      <c r="F162" s="6">
        <v>40.0</v>
      </c>
      <c r="G162" s="6"/>
    </row>
    <row r="163" ht="15.75" customHeight="1">
      <c r="A163" s="15">
        <v>45819.0</v>
      </c>
      <c r="B163" s="6">
        <f>'JAN25'!$F163+'JAN25'!$G163</f>
        <v>60</v>
      </c>
      <c r="C163" s="6">
        <v>150.0</v>
      </c>
      <c r="D163" s="6">
        <f>D162+'JAN25'!$B163</f>
        <v>1147</v>
      </c>
      <c r="E163" s="6">
        <f>E162+'JAN25'!$C163</f>
        <v>1650</v>
      </c>
      <c r="F163" s="6">
        <v>60.0</v>
      </c>
      <c r="G163" s="6"/>
    </row>
    <row r="164" ht="15.75" customHeight="1">
      <c r="A164" s="15">
        <v>45820.0</v>
      </c>
      <c r="B164" s="6">
        <f>'JAN25'!$F164+'JAN25'!$G164</f>
        <v>25</v>
      </c>
      <c r="C164" s="6">
        <v>150.0</v>
      </c>
      <c r="D164" s="6">
        <f>D163+'JAN25'!$B164</f>
        <v>1172</v>
      </c>
      <c r="E164" s="6">
        <f>E163+'JAN25'!$C164</f>
        <v>1800</v>
      </c>
      <c r="F164" s="6">
        <v>25.0</v>
      </c>
      <c r="G164" s="6"/>
    </row>
    <row r="165" ht="15.75" customHeight="1">
      <c r="A165" s="15">
        <v>45821.0</v>
      </c>
      <c r="B165" s="6">
        <f>'JAN25'!$F165+'JAN25'!$G165</f>
        <v>65</v>
      </c>
      <c r="C165" s="6">
        <v>150.0</v>
      </c>
      <c r="D165" s="6">
        <f>D164+'JAN25'!$B165</f>
        <v>1237</v>
      </c>
      <c r="E165" s="6">
        <f>E164+'JAN25'!$C165</f>
        <v>1950</v>
      </c>
      <c r="F165" s="6">
        <f>50</f>
        <v>50</v>
      </c>
      <c r="G165" s="6">
        <v>15.0</v>
      </c>
    </row>
    <row r="166" ht="15.75" customHeight="1">
      <c r="A166" s="15">
        <v>45822.0</v>
      </c>
      <c r="B166" s="6">
        <f>'JAN25'!$F166+'JAN25'!$G166</f>
        <v>165</v>
      </c>
      <c r="C166" s="6">
        <v>150.0</v>
      </c>
      <c r="D166" s="6">
        <f>D165+'JAN25'!$B166</f>
        <v>1402</v>
      </c>
      <c r="E166" s="6">
        <f>E165+'JAN25'!$C166</f>
        <v>2100</v>
      </c>
      <c r="F166" s="6">
        <f>30+20+55</f>
        <v>105</v>
      </c>
      <c r="G166" s="6">
        <f>60</f>
        <v>60</v>
      </c>
    </row>
    <row r="167" ht="15.75" customHeight="1">
      <c r="A167" s="15">
        <v>45823.0</v>
      </c>
      <c r="B167" s="6">
        <f>'JAN25'!$F167+'JAN25'!$G167</f>
        <v>230</v>
      </c>
      <c r="C167" s="6">
        <v>150.0</v>
      </c>
      <c r="D167" s="6">
        <f>D166+'JAN25'!$B167</f>
        <v>1632</v>
      </c>
      <c r="E167" s="6">
        <f>E166+'JAN25'!$C167</f>
        <v>2250</v>
      </c>
      <c r="F167" s="6">
        <f>60+170</f>
        <v>230</v>
      </c>
      <c r="G167" s="6"/>
    </row>
    <row r="168" ht="15.75" customHeight="1">
      <c r="A168" s="15">
        <v>45824.0</v>
      </c>
      <c r="B168" s="6">
        <f>'JAN25'!$F168+'JAN25'!$G168</f>
        <v>20</v>
      </c>
      <c r="C168" s="6">
        <v>150.0</v>
      </c>
      <c r="D168" s="6">
        <f>D167+'JAN25'!$B168</f>
        <v>1652</v>
      </c>
      <c r="E168" s="6">
        <f>E167+'JAN25'!$C168</f>
        <v>2400</v>
      </c>
      <c r="F168" s="6">
        <v>20.0</v>
      </c>
      <c r="G168" s="6"/>
    </row>
    <row r="169" ht="15.75" customHeight="1">
      <c r="A169" s="15">
        <v>45825.0</v>
      </c>
      <c r="B169" s="6">
        <f>'JAN25'!$F169+'JAN25'!$G169</f>
        <v>60</v>
      </c>
      <c r="C169" s="6">
        <v>150.0</v>
      </c>
      <c r="D169" s="6">
        <f>D168+'JAN25'!$B169</f>
        <v>1712</v>
      </c>
      <c r="E169" s="6">
        <f>E168+'JAN25'!$C169</f>
        <v>2550</v>
      </c>
      <c r="F169" s="6">
        <v>60.0</v>
      </c>
      <c r="G169" s="6"/>
    </row>
    <row r="170" ht="15.75" customHeight="1">
      <c r="A170" s="15">
        <v>45826.0</v>
      </c>
      <c r="B170" s="6">
        <f>'JAN25'!$F170+'JAN25'!$G170</f>
        <v>80</v>
      </c>
      <c r="C170" s="6">
        <v>150.0</v>
      </c>
      <c r="D170" s="6">
        <f>D169+'JAN25'!$B170</f>
        <v>1792</v>
      </c>
      <c r="E170" s="6">
        <f>E169+'JAN25'!$C170</f>
        <v>2700</v>
      </c>
      <c r="F170" s="6">
        <v>80.0</v>
      </c>
      <c r="G170" s="6"/>
    </row>
    <row r="171" ht="15.75" customHeight="1">
      <c r="A171" s="15">
        <v>45827.0</v>
      </c>
      <c r="B171" s="6">
        <f>'JAN25'!$F171+'JAN25'!$G171</f>
        <v>30</v>
      </c>
      <c r="C171" s="6">
        <v>150.0</v>
      </c>
      <c r="D171" s="6">
        <f>D170+'JAN25'!$B171</f>
        <v>1822</v>
      </c>
      <c r="E171" s="6">
        <f>E170+'JAN25'!$C171</f>
        <v>2850</v>
      </c>
      <c r="F171" s="6">
        <v>30.0</v>
      </c>
      <c r="G171" s="6"/>
    </row>
    <row r="172" ht="15.75" customHeight="1">
      <c r="A172" s="15">
        <v>45828.0</v>
      </c>
      <c r="B172" s="6">
        <f>'JAN25'!$F172+'JAN25'!$G172</f>
        <v>0</v>
      </c>
      <c r="C172" s="6">
        <v>150.0</v>
      </c>
      <c r="D172" s="6">
        <f>D171+'JAN25'!$B172</f>
        <v>1822</v>
      </c>
      <c r="E172" s="6">
        <f>E171+'JAN25'!$C172</f>
        <v>3000</v>
      </c>
      <c r="F172" s="6">
        <v>0.0</v>
      </c>
      <c r="G172" s="6"/>
    </row>
    <row r="173" ht="15.75" customHeight="1">
      <c r="A173" s="15">
        <v>45829.0</v>
      </c>
      <c r="B173" s="6">
        <f>'JAN25'!$F173+'JAN25'!$G173</f>
        <v>70</v>
      </c>
      <c r="C173" s="6">
        <v>150.0</v>
      </c>
      <c r="D173" s="6">
        <f>D172+'JAN25'!$B173</f>
        <v>1892</v>
      </c>
      <c r="E173" s="6">
        <f>E172+'JAN25'!$C173</f>
        <v>3150</v>
      </c>
      <c r="F173" s="6">
        <f>20+50</f>
        <v>70</v>
      </c>
      <c r="G173" s="6"/>
    </row>
    <row r="174" ht="15.75" customHeight="1">
      <c r="A174" s="15">
        <v>45830.0</v>
      </c>
      <c r="B174" s="6">
        <f>'JAN25'!$F174+'JAN25'!$G174</f>
        <v>125</v>
      </c>
      <c r="C174" s="6">
        <v>150.0</v>
      </c>
      <c r="D174" s="6">
        <f>D173+'JAN25'!$B174</f>
        <v>2017</v>
      </c>
      <c r="E174" s="6">
        <f>E173+'JAN25'!$C174</f>
        <v>3300</v>
      </c>
      <c r="F174" s="6">
        <f>85+40</f>
        <v>125</v>
      </c>
      <c r="G174" s="6"/>
    </row>
    <row r="175" ht="15.75" customHeight="1">
      <c r="A175" s="15">
        <v>45831.0</v>
      </c>
      <c r="B175" s="6">
        <f>'JAN25'!$F175+'JAN25'!$G175</f>
        <v>25</v>
      </c>
      <c r="C175" s="6">
        <v>150.0</v>
      </c>
      <c r="D175" s="6">
        <f>D174+'JAN25'!$B175</f>
        <v>2042</v>
      </c>
      <c r="E175" s="6">
        <f>E174+'JAN25'!$C175</f>
        <v>3450</v>
      </c>
      <c r="F175" s="6">
        <v>25.0</v>
      </c>
      <c r="G175" s="6"/>
    </row>
    <row r="176" ht="15.75" customHeight="1">
      <c r="A176" s="15">
        <v>45832.0</v>
      </c>
      <c r="B176" s="6">
        <f>'JAN25'!$F176+'JAN25'!$G176</f>
        <v>233</v>
      </c>
      <c r="C176" s="6">
        <v>150.0</v>
      </c>
      <c r="D176" s="6">
        <f>D175+'JAN25'!$B176</f>
        <v>2275</v>
      </c>
      <c r="E176" s="6">
        <f>E175+'JAN25'!$C176</f>
        <v>3600</v>
      </c>
      <c r="F176" s="6">
        <f>218+15</f>
        <v>233</v>
      </c>
      <c r="G176" s="6"/>
    </row>
    <row r="177" ht="15.75" customHeight="1">
      <c r="A177" s="15">
        <v>45833.0</v>
      </c>
      <c r="B177" s="6">
        <f>'JAN25'!$F177+'JAN25'!$G177</f>
        <v>35</v>
      </c>
      <c r="C177" s="6">
        <v>150.0</v>
      </c>
      <c r="D177" s="6">
        <f>D176+'JAN25'!$B177</f>
        <v>2310</v>
      </c>
      <c r="E177" s="6">
        <f>E176+'JAN25'!$C177</f>
        <v>3750</v>
      </c>
      <c r="F177" s="6">
        <v>35.0</v>
      </c>
      <c r="G177" s="6"/>
    </row>
    <row r="178" ht="15.75" customHeight="1">
      <c r="A178" s="15">
        <v>45834.0</v>
      </c>
      <c r="B178" s="6">
        <f>'JAN25'!$F178+'JAN25'!$G178</f>
        <v>0</v>
      </c>
      <c r="C178" s="6">
        <v>150.0</v>
      </c>
      <c r="D178" s="6">
        <f>D177+'JAN25'!$B178</f>
        <v>2310</v>
      </c>
      <c r="E178" s="6">
        <f>E177+'JAN25'!$C178</f>
        <v>3900</v>
      </c>
      <c r="F178" s="6">
        <v>0.0</v>
      </c>
      <c r="G178" s="6"/>
    </row>
    <row r="179" ht="15.75" customHeight="1">
      <c r="A179" s="15">
        <v>45835.0</v>
      </c>
      <c r="B179" s="6">
        <f>'JAN25'!$F179+'JAN25'!$G179</f>
        <v>66</v>
      </c>
      <c r="C179" s="6">
        <v>150.0</v>
      </c>
      <c r="D179" s="6">
        <f>D178+'JAN25'!$B179</f>
        <v>2376</v>
      </c>
      <c r="E179" s="6">
        <f>E178+'JAN25'!$C179</f>
        <v>4050</v>
      </c>
      <c r="F179" s="6">
        <f>25+15+26</f>
        <v>66</v>
      </c>
      <c r="G179" s="6"/>
    </row>
    <row r="180" ht="15.75" customHeight="1">
      <c r="A180" s="15">
        <v>45836.0</v>
      </c>
      <c r="B180" s="6">
        <f>'JAN25'!$F180+'JAN25'!$G180</f>
        <v>40</v>
      </c>
      <c r="C180" s="6">
        <v>150.0</v>
      </c>
      <c r="D180" s="6">
        <f>D179+'JAN25'!$B180</f>
        <v>2416</v>
      </c>
      <c r="E180" s="6">
        <f>E179+'JAN25'!$C180</f>
        <v>4200</v>
      </c>
      <c r="F180" s="6">
        <v>40.0</v>
      </c>
      <c r="G180" s="6"/>
    </row>
    <row r="181" ht="15.75" customHeight="1">
      <c r="A181" s="15">
        <v>45837.0</v>
      </c>
      <c r="B181" s="6">
        <f>'JAN25'!$F181+'JAN25'!$G181</f>
        <v>124</v>
      </c>
      <c r="C181" s="6">
        <v>150.0</v>
      </c>
      <c r="D181" s="6">
        <f>D180+'JAN25'!$B181</f>
        <v>2540</v>
      </c>
      <c r="E181" s="6">
        <f>E180+'JAN25'!$C181</f>
        <v>4350</v>
      </c>
      <c r="F181" s="6">
        <f>35+65</f>
        <v>100</v>
      </c>
      <c r="G181" s="6">
        <v>24.0</v>
      </c>
    </row>
    <row r="182" ht="15.75" customHeight="1">
      <c r="A182" s="15">
        <v>45838.0</v>
      </c>
      <c r="B182" s="6">
        <f>'JAN25'!$F182+'JAN25'!$G182</f>
        <v>30</v>
      </c>
      <c r="C182" s="6">
        <v>150.0</v>
      </c>
      <c r="D182" s="6">
        <f>D181+'JAN25'!$B182</f>
        <v>2570</v>
      </c>
      <c r="E182" s="6">
        <f>E181+'JAN25'!$C182</f>
        <v>4500</v>
      </c>
      <c r="F182" s="6">
        <v>30.0</v>
      </c>
      <c r="G182" s="6"/>
    </row>
    <row r="183" ht="15.75" customHeight="1">
      <c r="A183" s="16">
        <v>45839.0</v>
      </c>
      <c r="B183" s="6">
        <f>'JAN25'!$F183+'JAN25'!$G183</f>
        <v>30</v>
      </c>
      <c r="C183" s="6">
        <v>150.0</v>
      </c>
      <c r="D183" s="6">
        <f>'JAN25'!$B183</f>
        <v>30</v>
      </c>
      <c r="E183" s="6">
        <v>150.0</v>
      </c>
      <c r="F183" s="6">
        <v>30.0</v>
      </c>
      <c r="G183" s="6"/>
      <c r="I183" s="7" t="s">
        <v>7</v>
      </c>
      <c r="J183" s="9">
        <v>800.0</v>
      </c>
      <c r="L183" s="8" t="s">
        <v>35</v>
      </c>
      <c r="M183" s="7">
        <v>88000.0</v>
      </c>
    </row>
    <row r="184" ht="15.75" customHeight="1">
      <c r="A184" s="16">
        <v>45840.0</v>
      </c>
      <c r="B184" s="6">
        <f>'JAN25'!$F184+'JAN25'!$G184</f>
        <v>60</v>
      </c>
      <c r="C184" s="6">
        <v>150.0</v>
      </c>
      <c r="D184" s="6">
        <f>D183+'JAN25'!$B184</f>
        <v>90</v>
      </c>
      <c r="E184" s="6">
        <f>E183+'JAN25'!$C184</f>
        <v>300</v>
      </c>
      <c r="F184" s="6">
        <f>35+25</f>
        <v>60</v>
      </c>
      <c r="G184" s="6"/>
      <c r="I184" s="7" t="s">
        <v>8</v>
      </c>
      <c r="J184" s="7">
        <v>2500.0</v>
      </c>
      <c r="L184" s="7" t="s">
        <v>36</v>
      </c>
      <c r="M184" s="7">
        <f>M183-17000</f>
        <v>71000</v>
      </c>
    </row>
    <row r="185" ht="15.75" customHeight="1">
      <c r="A185" s="16">
        <v>45841.0</v>
      </c>
      <c r="B185" s="6">
        <f>'JAN25'!$F185+'JAN25'!$G185</f>
        <v>40</v>
      </c>
      <c r="C185" s="6">
        <v>150.0</v>
      </c>
      <c r="D185" s="6">
        <f>D184+'JAN25'!$B185</f>
        <v>130</v>
      </c>
      <c r="E185" s="6">
        <f>E184+'JAN25'!$C185</f>
        <v>450</v>
      </c>
      <c r="F185" s="6">
        <v>40.0</v>
      </c>
      <c r="G185" s="6"/>
      <c r="I185" s="7" t="s">
        <v>19</v>
      </c>
      <c r="J185" s="7">
        <v>500.0</v>
      </c>
      <c r="L185" s="7" t="s">
        <v>37</v>
      </c>
      <c r="M185" s="7">
        <f>SUM(J183:J191)</f>
        <v>17644</v>
      </c>
    </row>
    <row r="186" ht="15.75" customHeight="1">
      <c r="A186" s="16">
        <v>45842.0</v>
      </c>
      <c r="B186" s="6">
        <f>'JAN25'!$F186+'JAN25'!$G186</f>
        <v>128</v>
      </c>
      <c r="C186" s="6">
        <v>150.0</v>
      </c>
      <c r="D186" s="6">
        <f>D185+'JAN25'!$B186</f>
        <v>258</v>
      </c>
      <c r="E186" s="6">
        <f>E185+'JAN25'!$C186</f>
        <v>600</v>
      </c>
      <c r="F186" s="6">
        <v>60.0</v>
      </c>
      <c r="G186" s="6">
        <v>68.0</v>
      </c>
      <c r="I186" s="7" t="s">
        <v>11</v>
      </c>
      <c r="J186" s="7">
        <f>D213</f>
        <v>2529</v>
      </c>
      <c r="M186" s="7">
        <f>M183-M185</f>
        <v>70356</v>
      </c>
    </row>
    <row r="187" ht="15.75" customHeight="1">
      <c r="A187" s="16">
        <v>45843.0</v>
      </c>
      <c r="B187" s="6">
        <f>'JAN25'!$F187+'JAN25'!$G187</f>
        <v>55</v>
      </c>
      <c r="C187" s="6">
        <v>150.0</v>
      </c>
      <c r="D187" s="6">
        <f>D186+'JAN25'!$B187</f>
        <v>313</v>
      </c>
      <c r="E187" s="6">
        <f>E186+'JAN25'!$C187</f>
        <v>750</v>
      </c>
      <c r="F187" s="6">
        <v>55.0</v>
      </c>
      <c r="G187" s="6"/>
      <c r="I187" s="7" t="s">
        <v>14</v>
      </c>
      <c r="J187" s="7">
        <v>3000.0</v>
      </c>
    </row>
    <row r="188" ht="15.75" customHeight="1">
      <c r="A188" s="16">
        <v>45844.0</v>
      </c>
      <c r="B188" s="6">
        <f>'JAN25'!$F188+'JAN25'!$G188</f>
        <v>0</v>
      </c>
      <c r="C188" s="6">
        <v>150.0</v>
      </c>
      <c r="D188" s="6">
        <f>D187+'JAN25'!$B188</f>
        <v>313</v>
      </c>
      <c r="E188" s="6">
        <f>E187+'JAN25'!$C188</f>
        <v>900</v>
      </c>
      <c r="F188" s="6">
        <v>0.0</v>
      </c>
      <c r="G188" s="6"/>
      <c r="I188" s="7" t="s">
        <v>10</v>
      </c>
      <c r="J188" s="7">
        <v>7000.0</v>
      </c>
    </row>
    <row r="189" ht="15.75" customHeight="1">
      <c r="A189" s="16">
        <v>45845.0</v>
      </c>
      <c r="B189" s="6">
        <f>'JAN25'!$F189+'JAN25'!$G189</f>
        <v>30</v>
      </c>
      <c r="C189" s="6">
        <v>150.0</v>
      </c>
      <c r="D189" s="6">
        <f>D188+'JAN25'!$B189</f>
        <v>343</v>
      </c>
      <c r="E189" s="6">
        <f>E188+'JAN25'!$C189</f>
        <v>1050</v>
      </c>
      <c r="F189" s="6">
        <v>30.0</v>
      </c>
      <c r="G189" s="6"/>
      <c r="I189" s="7" t="s">
        <v>15</v>
      </c>
      <c r="J189" s="7">
        <v>578.0</v>
      </c>
    </row>
    <row r="190" ht="15.75" customHeight="1">
      <c r="A190" s="16">
        <v>45846.0</v>
      </c>
      <c r="B190" s="6">
        <f>'JAN25'!$F190+'JAN25'!$G190</f>
        <v>40</v>
      </c>
      <c r="C190" s="6">
        <v>150.0</v>
      </c>
      <c r="D190" s="6">
        <f>D189+'JAN25'!$B190</f>
        <v>383</v>
      </c>
      <c r="E190" s="6">
        <f>E189+'JAN25'!$C190</f>
        <v>1200</v>
      </c>
      <c r="F190" s="6">
        <v>40.0</v>
      </c>
      <c r="G190" s="6"/>
      <c r="I190" s="7" t="s">
        <v>27</v>
      </c>
      <c r="J190" s="7">
        <f>167+120+100</f>
        <v>387</v>
      </c>
    </row>
    <row r="191" ht="15.75" customHeight="1">
      <c r="A191" s="16">
        <v>45847.0</v>
      </c>
      <c r="B191" s="6">
        <f>'JAN25'!$F191+'JAN25'!$G191</f>
        <v>20</v>
      </c>
      <c r="C191" s="6">
        <v>150.0</v>
      </c>
      <c r="D191" s="6">
        <f>D190+'JAN25'!$B191</f>
        <v>403</v>
      </c>
      <c r="E191" s="6">
        <f>E190+'JAN25'!$C191</f>
        <v>1350</v>
      </c>
      <c r="F191" s="6">
        <v>20.0</v>
      </c>
      <c r="G191" s="6"/>
      <c r="I191" s="7" t="s">
        <v>23</v>
      </c>
      <c r="J191" s="7">
        <v>350.0</v>
      </c>
    </row>
    <row r="192" ht="15.75" customHeight="1">
      <c r="A192" s="16">
        <v>45848.0</v>
      </c>
      <c r="B192" s="6">
        <f>'JAN25'!$F192+'JAN25'!$G192</f>
        <v>60</v>
      </c>
      <c r="C192" s="6">
        <v>150.0</v>
      </c>
      <c r="D192" s="6">
        <f>D191+'JAN25'!$B192</f>
        <v>463</v>
      </c>
      <c r="E192" s="6">
        <f>E191+'JAN25'!$C192</f>
        <v>1500</v>
      </c>
      <c r="F192" s="6">
        <v>60.0</v>
      </c>
      <c r="G192" s="6"/>
      <c r="I192" s="7" t="s">
        <v>17</v>
      </c>
      <c r="J192" s="9">
        <v>500.0</v>
      </c>
    </row>
    <row r="193" ht="15.75" customHeight="1">
      <c r="A193" s="16">
        <v>45849.0</v>
      </c>
      <c r="B193" s="6">
        <f>'JAN25'!$F193+'JAN25'!$G193</f>
        <v>0</v>
      </c>
      <c r="C193" s="6">
        <v>150.0</v>
      </c>
      <c r="D193" s="6">
        <f>D192+'JAN25'!$B193</f>
        <v>463</v>
      </c>
      <c r="E193" s="6">
        <f>E192+'JAN25'!$C193</f>
        <v>1650</v>
      </c>
      <c r="F193" s="6">
        <v>0.0</v>
      </c>
      <c r="G193" s="6"/>
    </row>
    <row r="194" ht="15.75" customHeight="1">
      <c r="A194" s="16">
        <v>45850.0</v>
      </c>
      <c r="B194" s="6">
        <f>'JAN25'!$F194+'JAN25'!$G194</f>
        <v>107</v>
      </c>
      <c r="C194" s="6">
        <v>150.0</v>
      </c>
      <c r="D194" s="6">
        <f>D193+'JAN25'!$B194</f>
        <v>570</v>
      </c>
      <c r="E194" s="6">
        <f>E193+'JAN25'!$C194</f>
        <v>1800</v>
      </c>
      <c r="F194" s="6">
        <f>25+40+10+12+20</f>
        <v>107</v>
      </c>
      <c r="G194" s="6"/>
    </row>
    <row r="195" ht="15.75" customHeight="1">
      <c r="A195" s="16">
        <v>45851.0</v>
      </c>
      <c r="B195" s="6">
        <f>'JAN25'!$F195+'JAN25'!$G195</f>
        <v>90</v>
      </c>
      <c r="C195" s="6">
        <v>150.0</v>
      </c>
      <c r="D195" s="6">
        <f>D194+'JAN25'!$B195</f>
        <v>660</v>
      </c>
      <c r="E195" s="6">
        <f>E194+'JAN25'!$C195</f>
        <v>1950</v>
      </c>
      <c r="F195" s="6">
        <f>30+60</f>
        <v>90</v>
      </c>
      <c r="G195" s="6"/>
    </row>
    <row r="196" ht="15.75" customHeight="1">
      <c r="A196" s="16">
        <v>45852.0</v>
      </c>
      <c r="B196" s="6">
        <f>'JAN25'!$F196+'JAN25'!$G196</f>
        <v>45</v>
      </c>
      <c r="C196" s="6">
        <v>150.0</v>
      </c>
      <c r="D196" s="6">
        <f>D195+'JAN25'!$B196</f>
        <v>705</v>
      </c>
      <c r="E196" s="6">
        <f>E195+'JAN25'!$C196</f>
        <v>2100</v>
      </c>
      <c r="F196" s="6">
        <f>20+25</f>
        <v>45</v>
      </c>
      <c r="G196" s="6"/>
    </row>
    <row r="197" ht="15.75" customHeight="1">
      <c r="A197" s="16">
        <v>45853.0</v>
      </c>
      <c r="B197" s="6">
        <f>'JAN25'!$F197+'JAN25'!$G197</f>
        <v>0</v>
      </c>
      <c r="C197" s="6">
        <v>150.0</v>
      </c>
      <c r="D197" s="6">
        <f>D196+'JAN25'!$B197</f>
        <v>705</v>
      </c>
      <c r="E197" s="6">
        <f>E196+'JAN25'!$C197</f>
        <v>2250</v>
      </c>
      <c r="F197" s="6">
        <v>0.0</v>
      </c>
      <c r="G197" s="6"/>
    </row>
    <row r="198" ht="15.75" customHeight="1">
      <c r="A198" s="16">
        <v>45854.0</v>
      </c>
      <c r="B198" s="6">
        <f>'JAN25'!$F198+'JAN25'!$G198</f>
        <v>70</v>
      </c>
      <c r="C198" s="6">
        <v>150.0</v>
      </c>
      <c r="D198" s="6">
        <f>D197+'JAN25'!$B198</f>
        <v>775</v>
      </c>
      <c r="E198" s="6">
        <f>E197+'JAN25'!$C198</f>
        <v>2400</v>
      </c>
      <c r="F198" s="6">
        <v>70.0</v>
      </c>
      <c r="G198" s="6"/>
    </row>
    <row r="199" ht="15.75" customHeight="1">
      <c r="A199" s="16">
        <v>45855.0</v>
      </c>
      <c r="B199" s="6">
        <f>'JAN25'!$F199+'JAN25'!$G199</f>
        <v>70</v>
      </c>
      <c r="C199" s="6">
        <v>150.0</v>
      </c>
      <c r="D199" s="6">
        <f>D198+'JAN25'!$B199</f>
        <v>845</v>
      </c>
      <c r="E199" s="6">
        <f>E198+'JAN25'!$C199</f>
        <v>2550</v>
      </c>
      <c r="F199" s="6">
        <v>70.0</v>
      </c>
      <c r="G199" s="6"/>
    </row>
    <row r="200" ht="15.75" customHeight="1">
      <c r="A200" s="16">
        <v>45856.0</v>
      </c>
      <c r="B200" s="6">
        <f>'JAN25'!$F200+'JAN25'!$G200</f>
        <v>70</v>
      </c>
      <c r="C200" s="6">
        <v>150.0</v>
      </c>
      <c r="D200" s="6">
        <f>D199+'JAN25'!$B200</f>
        <v>915</v>
      </c>
      <c r="E200" s="6">
        <f>E199+'JAN25'!$C200</f>
        <v>2700</v>
      </c>
      <c r="F200" s="6">
        <v>70.0</v>
      </c>
      <c r="G200" s="6"/>
    </row>
    <row r="201" ht="15.75" customHeight="1">
      <c r="A201" s="16">
        <v>45857.0</v>
      </c>
      <c r="B201" s="6">
        <f>'JAN25'!$F201+'JAN25'!$G201</f>
        <v>390</v>
      </c>
      <c r="C201" s="6">
        <v>150.0</v>
      </c>
      <c r="D201" s="6">
        <f>D200+'JAN25'!$B201</f>
        <v>1305</v>
      </c>
      <c r="E201" s="6">
        <f>E200+'JAN25'!$C201</f>
        <v>2850</v>
      </c>
      <c r="F201" s="6">
        <v>390.0</v>
      </c>
      <c r="G201" s="6"/>
    </row>
    <row r="202" ht="15.75" customHeight="1">
      <c r="A202" s="16">
        <v>45858.0</v>
      </c>
      <c r="B202" s="6">
        <f>'JAN25'!$F202+'JAN25'!$G202</f>
        <v>382</v>
      </c>
      <c r="C202" s="6">
        <v>150.0</v>
      </c>
      <c r="D202" s="6">
        <f>D201+'JAN25'!$B202</f>
        <v>1687</v>
      </c>
      <c r="E202" s="6">
        <f>E201+'JAN25'!$C202</f>
        <v>3000</v>
      </c>
      <c r="F202" s="6">
        <v>242.0</v>
      </c>
      <c r="G202" s="6">
        <v>140.0</v>
      </c>
    </row>
    <row r="203" ht="15.75" customHeight="1">
      <c r="A203" s="16">
        <v>45859.0</v>
      </c>
      <c r="B203" s="6">
        <f>'JAN25'!$F203+'JAN25'!$G203</f>
        <v>0</v>
      </c>
      <c r="C203" s="6">
        <v>150.0</v>
      </c>
      <c r="D203" s="6">
        <f>D202+'JAN25'!$B203</f>
        <v>1687</v>
      </c>
      <c r="E203" s="6">
        <f>E202+'JAN25'!$C203</f>
        <v>3150</v>
      </c>
      <c r="F203" s="6">
        <v>0.0</v>
      </c>
      <c r="G203" s="6"/>
    </row>
    <row r="204" ht="15.75" customHeight="1">
      <c r="A204" s="16">
        <v>45860.0</v>
      </c>
      <c r="B204" s="6">
        <f>'JAN25'!$F204+'JAN25'!$G204</f>
        <v>146</v>
      </c>
      <c r="C204" s="6">
        <v>150.0</v>
      </c>
      <c r="D204" s="6">
        <f>D203+'JAN25'!$B204</f>
        <v>1833</v>
      </c>
      <c r="E204" s="6">
        <f>E203+'JAN25'!$C204</f>
        <v>3300</v>
      </c>
      <c r="F204" s="6">
        <v>146.0</v>
      </c>
      <c r="G204" s="6"/>
    </row>
    <row r="205" ht="15.75" customHeight="1">
      <c r="A205" s="16">
        <v>45861.0</v>
      </c>
      <c r="B205" s="6">
        <f>'JAN25'!$F205+'JAN25'!$G205</f>
        <v>28</v>
      </c>
      <c r="C205" s="6">
        <v>150.0</v>
      </c>
      <c r="D205" s="6">
        <f>D204+'JAN25'!$B205</f>
        <v>1861</v>
      </c>
      <c r="E205" s="6">
        <f>E204+'JAN25'!$C205</f>
        <v>3450</v>
      </c>
      <c r="F205" s="6">
        <v>28.0</v>
      </c>
      <c r="G205" s="6"/>
    </row>
    <row r="206" ht="15.75" customHeight="1">
      <c r="A206" s="16">
        <v>45862.0</v>
      </c>
      <c r="B206" s="6">
        <f>'JAN25'!$F206+'JAN25'!$G206</f>
        <v>40</v>
      </c>
      <c r="C206" s="6">
        <v>150.0</v>
      </c>
      <c r="D206" s="6">
        <f>D205+'JAN25'!$B206</f>
        <v>1901</v>
      </c>
      <c r="E206" s="6">
        <f>E205+'JAN25'!$C206</f>
        <v>3600</v>
      </c>
      <c r="F206" s="6">
        <v>40.0</v>
      </c>
      <c r="G206" s="6"/>
    </row>
    <row r="207" ht="15.75" customHeight="1">
      <c r="A207" s="16">
        <v>45863.0</v>
      </c>
      <c r="B207" s="6">
        <f>'JAN25'!$F207+'JAN25'!$G207</f>
        <v>50</v>
      </c>
      <c r="C207" s="6">
        <v>150.0</v>
      </c>
      <c r="D207" s="6">
        <f>D206+'JAN25'!$B207</f>
        <v>1951</v>
      </c>
      <c r="E207" s="6">
        <f>E206+'JAN25'!$C207</f>
        <v>3750</v>
      </c>
      <c r="F207" s="6">
        <v>50.0</v>
      </c>
      <c r="G207" s="6"/>
    </row>
    <row r="208" ht="15.75" customHeight="1">
      <c r="A208" s="16">
        <v>45864.0</v>
      </c>
      <c r="B208" s="6">
        <f>'JAN25'!$F208+'JAN25'!$G208</f>
        <v>55</v>
      </c>
      <c r="C208" s="6">
        <v>150.0</v>
      </c>
      <c r="D208" s="6">
        <f>D207+'JAN25'!$B208</f>
        <v>2006</v>
      </c>
      <c r="E208" s="6">
        <f>E207+'JAN25'!$C208</f>
        <v>3900</v>
      </c>
      <c r="F208" s="6">
        <v>55.0</v>
      </c>
      <c r="G208" s="6"/>
    </row>
    <row r="209" ht="15.75" customHeight="1">
      <c r="A209" s="16">
        <v>45865.0</v>
      </c>
      <c r="B209" s="6">
        <f>'JAN25'!$F209+'JAN25'!$G209</f>
        <v>105</v>
      </c>
      <c r="C209" s="6">
        <v>150.0</v>
      </c>
      <c r="D209" s="6">
        <f>D208+'JAN25'!$B209</f>
        <v>2111</v>
      </c>
      <c r="E209" s="6">
        <f>E208+'JAN25'!$C209</f>
        <v>4050</v>
      </c>
      <c r="F209" s="6">
        <f>15+30+60</f>
        <v>105</v>
      </c>
      <c r="G209" s="6"/>
    </row>
    <row r="210" ht="15.75" customHeight="1">
      <c r="A210" s="16">
        <v>45866.0</v>
      </c>
      <c r="B210" s="6">
        <f>'JAN25'!$F210+'JAN25'!$G210</f>
        <v>90</v>
      </c>
      <c r="C210" s="6">
        <v>150.0</v>
      </c>
      <c r="D210" s="6">
        <f>D209+'JAN25'!$B210</f>
        <v>2201</v>
      </c>
      <c r="E210" s="6">
        <f>E209+'JAN25'!$C210</f>
        <v>4200</v>
      </c>
      <c r="F210" s="6">
        <v>90.0</v>
      </c>
      <c r="G210" s="6"/>
    </row>
    <row r="211" ht="15.75" customHeight="1">
      <c r="A211" s="16">
        <v>45867.0</v>
      </c>
      <c r="B211" s="6">
        <f>'JAN25'!$F211+'JAN25'!$G211</f>
        <v>203</v>
      </c>
      <c r="C211" s="6">
        <v>150.0</v>
      </c>
      <c r="D211" s="6">
        <f>D210+'JAN25'!$B211</f>
        <v>2404</v>
      </c>
      <c r="E211" s="6">
        <f>E210+'JAN25'!$C211</f>
        <v>4350</v>
      </c>
      <c r="F211" s="6">
        <f>10+25+168</f>
        <v>203</v>
      </c>
      <c r="G211" s="6"/>
    </row>
    <row r="212" ht="15.75" customHeight="1">
      <c r="A212" s="16">
        <v>45868.0</v>
      </c>
      <c r="B212" s="6">
        <f>'JAN25'!$F212+'JAN25'!$G212</f>
        <v>105</v>
      </c>
      <c r="C212" s="6">
        <v>150.0</v>
      </c>
      <c r="D212" s="6">
        <f>D211+'JAN25'!$B212</f>
        <v>2509</v>
      </c>
      <c r="E212" s="6">
        <f>E211+'JAN25'!$C212</f>
        <v>4500</v>
      </c>
      <c r="F212" s="6">
        <f>10+70+25</f>
        <v>105</v>
      </c>
      <c r="G212" s="6"/>
    </row>
    <row r="213" ht="15.75" customHeight="1">
      <c r="A213" s="16">
        <v>45869.0</v>
      </c>
      <c r="B213" s="6">
        <f>'JAN25'!$F213+'JAN25'!$G213</f>
        <v>20</v>
      </c>
      <c r="C213" s="6">
        <v>150.0</v>
      </c>
      <c r="D213" s="6">
        <f>D212+'JAN25'!$B213</f>
        <v>2529</v>
      </c>
      <c r="E213" s="6">
        <f>E212+'JAN25'!$C213</f>
        <v>4650</v>
      </c>
      <c r="F213" s="6">
        <v>20.0</v>
      </c>
      <c r="G213" s="6"/>
    </row>
    <row r="214" ht="15.75" customHeight="1">
      <c r="A214" s="17">
        <v>45870.0</v>
      </c>
      <c r="B214" s="6">
        <f>'JAN25'!$F214+'JAN25'!$G214</f>
        <v>100</v>
      </c>
      <c r="C214" s="6">
        <v>150.0</v>
      </c>
      <c r="D214" s="6">
        <f>'JAN25'!$B214</f>
        <v>100</v>
      </c>
      <c r="E214" s="6">
        <f>'JAN25'!$C214</f>
        <v>150</v>
      </c>
      <c r="F214" s="6">
        <v>100.0</v>
      </c>
      <c r="G214" s="6"/>
      <c r="I214" s="7" t="s">
        <v>7</v>
      </c>
      <c r="J214" s="9">
        <v>1000.0</v>
      </c>
      <c r="L214" s="8" t="s">
        <v>38</v>
      </c>
      <c r="M214" s="7">
        <v>126133.0</v>
      </c>
    </row>
    <row r="215" ht="15.75" customHeight="1">
      <c r="A215" s="17">
        <v>45871.0</v>
      </c>
      <c r="B215" s="6">
        <f>'JAN25'!$F215+'JAN25'!$G215</f>
        <v>210</v>
      </c>
      <c r="C215" s="6">
        <v>150.0</v>
      </c>
      <c r="D215" s="6">
        <f>D214+'JAN25'!$B215</f>
        <v>310</v>
      </c>
      <c r="E215" s="6">
        <f>E214+'JAN25'!$C215</f>
        <v>300</v>
      </c>
      <c r="F215" s="6">
        <v>60.0</v>
      </c>
      <c r="G215" s="6">
        <v>150.0</v>
      </c>
      <c r="I215" s="7" t="s">
        <v>8</v>
      </c>
      <c r="J215" s="7">
        <v>2000.0</v>
      </c>
    </row>
    <row r="216" ht="15.75" customHeight="1">
      <c r="A216" s="17">
        <v>45872.0</v>
      </c>
      <c r="B216" s="6">
        <f>'JAN25'!$F216+'JAN25'!$G216</f>
        <v>170</v>
      </c>
      <c r="C216" s="6">
        <v>150.0</v>
      </c>
      <c r="D216" s="6">
        <f>D215+'JAN25'!$B216</f>
        <v>480</v>
      </c>
      <c r="E216" s="6">
        <f>E215+'JAN25'!$C216</f>
        <v>450</v>
      </c>
      <c r="F216" s="6">
        <f>60+60</f>
        <v>120</v>
      </c>
      <c r="G216" s="6">
        <v>50.0</v>
      </c>
      <c r="I216" s="7" t="s">
        <v>19</v>
      </c>
      <c r="J216" s="7">
        <v>500.0</v>
      </c>
      <c r="L216" s="7" t="s">
        <v>39</v>
      </c>
      <c r="M216" s="7">
        <v>26200.0</v>
      </c>
    </row>
    <row r="217" ht="15.75" customHeight="1">
      <c r="A217" s="17">
        <v>45873.0</v>
      </c>
      <c r="B217" s="6">
        <f>'JAN25'!$F217+'JAN25'!$G217</f>
        <v>125</v>
      </c>
      <c r="C217" s="6">
        <v>150.0</v>
      </c>
      <c r="D217" s="6">
        <f>D216+'JAN25'!$B217</f>
        <v>605</v>
      </c>
      <c r="E217" s="6">
        <f>E216+'JAN25'!$C217</f>
        <v>600</v>
      </c>
      <c r="F217" s="6">
        <v>125.0</v>
      </c>
      <c r="G217" s="6"/>
      <c r="I217" s="7" t="s">
        <v>11</v>
      </c>
      <c r="J217" s="7">
        <f>D244</f>
        <v>2724</v>
      </c>
      <c r="L217" s="7" t="s">
        <v>37</v>
      </c>
      <c r="M217" s="7">
        <f>SUM(J214:J223)</f>
        <v>19244</v>
      </c>
    </row>
    <row r="218" ht="15.75" customHeight="1">
      <c r="A218" s="17">
        <v>45874.0</v>
      </c>
      <c r="B218" s="6">
        <f>'JAN25'!$F218+'JAN25'!$G218</f>
        <v>146</v>
      </c>
      <c r="C218" s="6">
        <v>150.0</v>
      </c>
      <c r="D218" s="6">
        <f>D217+'JAN25'!$B218</f>
        <v>751</v>
      </c>
      <c r="E218" s="6">
        <f>E217+'JAN25'!$C218</f>
        <v>750</v>
      </c>
      <c r="F218" s="6">
        <v>146.0</v>
      </c>
      <c r="G218" s="6"/>
      <c r="I218" s="7" t="s">
        <v>14</v>
      </c>
      <c r="J218" s="7">
        <v>2000.0</v>
      </c>
      <c r="L218" s="8" t="s">
        <v>40</v>
      </c>
      <c r="M218" s="7">
        <f>M214-M217-M216</f>
        <v>80689</v>
      </c>
    </row>
    <row r="219" ht="15.75" customHeight="1">
      <c r="A219" s="17">
        <v>45875.0</v>
      </c>
      <c r="B219" s="6">
        <f>'JAN25'!$F219+'JAN25'!$G219</f>
        <v>50</v>
      </c>
      <c r="C219" s="6">
        <v>150.0</v>
      </c>
      <c r="D219" s="6">
        <f>D218+'JAN25'!$B219</f>
        <v>801</v>
      </c>
      <c r="E219" s="6">
        <f>E218+'JAN25'!$C219</f>
        <v>900</v>
      </c>
      <c r="F219" s="6">
        <f>10+15+25</f>
        <v>50</v>
      </c>
      <c r="G219" s="6"/>
      <c r="I219" s="7" t="s">
        <v>10</v>
      </c>
      <c r="J219" s="7">
        <v>7000.0</v>
      </c>
    </row>
    <row r="220" ht="15.75" customHeight="1">
      <c r="A220" s="17">
        <v>45876.0</v>
      </c>
      <c r="B220" s="6">
        <f>'JAN25'!$F220+'JAN25'!$G220</f>
        <v>25</v>
      </c>
      <c r="C220" s="6">
        <v>150.0</v>
      </c>
      <c r="D220" s="6">
        <f>D219+'JAN25'!$B220</f>
        <v>826</v>
      </c>
      <c r="E220" s="6">
        <f>E219+'JAN25'!$C220</f>
        <v>1050</v>
      </c>
      <c r="F220" s="6">
        <v>25.0</v>
      </c>
      <c r="G220" s="6"/>
      <c r="I220" s="7" t="s">
        <v>30</v>
      </c>
      <c r="J220" s="7">
        <v>150.0</v>
      </c>
    </row>
    <row r="221" ht="15.75" customHeight="1">
      <c r="A221" s="17">
        <v>45877.0</v>
      </c>
      <c r="B221" s="6">
        <f>'JAN25'!$F221+'JAN25'!$G221</f>
        <v>0</v>
      </c>
      <c r="C221" s="6">
        <v>150.0</v>
      </c>
      <c r="D221" s="6">
        <f>D220+'JAN25'!$B221</f>
        <v>826</v>
      </c>
      <c r="E221" s="6">
        <f>E220+'JAN25'!$C221</f>
        <v>1200</v>
      </c>
      <c r="F221" s="6"/>
      <c r="G221" s="6"/>
      <c r="I221" s="7" t="s">
        <v>22</v>
      </c>
      <c r="J221" s="7">
        <v>530.0</v>
      </c>
    </row>
    <row r="222" ht="15.75" customHeight="1">
      <c r="A222" s="17">
        <v>45878.0</v>
      </c>
      <c r="B222" s="6">
        <f>'JAN25'!$F222+'JAN25'!$G222</f>
        <v>175</v>
      </c>
      <c r="C222" s="6">
        <v>150.0</v>
      </c>
      <c r="D222" s="6">
        <f>D221+'JAN25'!$B222</f>
        <v>1001</v>
      </c>
      <c r="E222" s="6">
        <f>E221+'JAN25'!$C222</f>
        <v>1350</v>
      </c>
      <c r="F222" s="6">
        <v>35.0</v>
      </c>
      <c r="G222" s="6">
        <v>140.0</v>
      </c>
      <c r="I222" s="7" t="s">
        <v>12</v>
      </c>
      <c r="J222" s="7">
        <f>1440+1550</f>
        <v>2990</v>
      </c>
    </row>
    <row r="223" ht="15.75" customHeight="1">
      <c r="A223" s="17">
        <v>45879.0</v>
      </c>
      <c r="B223" s="6">
        <f>'JAN25'!$F223+'JAN25'!$G223</f>
        <v>100</v>
      </c>
      <c r="C223" s="6">
        <v>150.0</v>
      </c>
      <c r="D223" s="6">
        <f>D222+'JAN25'!$B223</f>
        <v>1101</v>
      </c>
      <c r="E223" s="6">
        <f>E222+'JAN25'!$C223</f>
        <v>1500</v>
      </c>
      <c r="F223" s="6">
        <v>100.0</v>
      </c>
      <c r="G223" s="6"/>
      <c r="I223" s="7" t="s">
        <v>30</v>
      </c>
      <c r="J223" s="7">
        <v>350.0</v>
      </c>
    </row>
    <row r="224" ht="15.75" customHeight="1">
      <c r="A224" s="17">
        <v>45880.0</v>
      </c>
      <c r="B224" s="6">
        <f>'JAN25'!$F224+'JAN25'!$G224</f>
        <v>55</v>
      </c>
      <c r="C224" s="6">
        <v>150.0</v>
      </c>
      <c r="D224" s="6">
        <f>D223+'JAN25'!$B224</f>
        <v>1156</v>
      </c>
      <c r="E224" s="6">
        <f>E223+'JAN25'!$C224</f>
        <v>1650</v>
      </c>
      <c r="F224" s="6">
        <f>20+35</f>
        <v>55</v>
      </c>
      <c r="G224" s="6"/>
      <c r="I224" s="7" t="s">
        <v>17</v>
      </c>
      <c r="J224" s="9">
        <v>500.0</v>
      </c>
    </row>
    <row r="225" ht="15.75" customHeight="1">
      <c r="A225" s="17">
        <v>45881.0</v>
      </c>
      <c r="B225" s="6">
        <f>'JAN25'!$F225+'JAN25'!$G225</f>
        <v>130</v>
      </c>
      <c r="C225" s="6">
        <v>150.0</v>
      </c>
      <c r="D225" s="6">
        <f>D224+'JAN25'!$B225</f>
        <v>1286</v>
      </c>
      <c r="E225" s="6">
        <f>E224+'JAN25'!$C225</f>
        <v>1800</v>
      </c>
      <c r="F225" s="6">
        <f>40+90</f>
        <v>130</v>
      </c>
      <c r="G225" s="6"/>
    </row>
    <row r="226" ht="15.75" customHeight="1">
      <c r="A226" s="17">
        <v>45882.0</v>
      </c>
      <c r="B226" s="6">
        <f>'JAN25'!$F226+'JAN25'!$G226</f>
        <v>20</v>
      </c>
      <c r="C226" s="6">
        <v>150.0</v>
      </c>
      <c r="D226" s="6">
        <f>D225+'JAN25'!$B226</f>
        <v>1306</v>
      </c>
      <c r="E226" s="6">
        <f>E225+'JAN25'!$C226</f>
        <v>1950</v>
      </c>
      <c r="F226" s="6">
        <v>20.0</v>
      </c>
      <c r="G226" s="6"/>
    </row>
    <row r="227" ht="15.75" customHeight="1">
      <c r="A227" s="17">
        <v>45883.0</v>
      </c>
      <c r="B227" s="6">
        <f>'JAN25'!$F227+'JAN25'!$G227</f>
        <v>55</v>
      </c>
      <c r="C227" s="6">
        <v>150.0</v>
      </c>
      <c r="D227" s="6">
        <f>D226+'JAN25'!$B227</f>
        <v>1361</v>
      </c>
      <c r="E227" s="6">
        <f>E226+'JAN25'!$C227</f>
        <v>2100</v>
      </c>
      <c r="F227" s="6">
        <f>25+30</f>
        <v>55</v>
      </c>
      <c r="G227" s="6"/>
    </row>
    <row r="228" ht="15.75" customHeight="1">
      <c r="A228" s="17">
        <v>45884.0</v>
      </c>
      <c r="B228" s="6">
        <f>'JAN25'!$F228+'JAN25'!$G228</f>
        <v>166</v>
      </c>
      <c r="C228" s="6">
        <v>150.0</v>
      </c>
      <c r="D228" s="6">
        <f>D227+'JAN25'!$B228</f>
        <v>1527</v>
      </c>
      <c r="E228" s="6">
        <f>E227+'JAN25'!$C228</f>
        <v>2250</v>
      </c>
      <c r="F228" s="6">
        <f>146+20</f>
        <v>166</v>
      </c>
      <c r="G228" s="6"/>
    </row>
    <row r="229" ht="15.75" customHeight="1">
      <c r="A229" s="17">
        <v>45885.0</v>
      </c>
      <c r="B229" s="6">
        <f>'JAN25'!$F229+'JAN25'!$G229</f>
        <v>75</v>
      </c>
      <c r="C229" s="6">
        <v>150.0</v>
      </c>
      <c r="D229" s="6">
        <f>D228+'JAN25'!$B229</f>
        <v>1602</v>
      </c>
      <c r="E229" s="6">
        <f>E228+'JAN25'!$C229</f>
        <v>2400</v>
      </c>
      <c r="F229" s="6">
        <v>15.0</v>
      </c>
      <c r="G229" s="6">
        <v>60.0</v>
      </c>
    </row>
    <row r="230" ht="15.75" customHeight="1">
      <c r="A230" s="17">
        <v>45886.0</v>
      </c>
      <c r="B230" s="6">
        <f>'JAN25'!$F230+'JAN25'!$G230</f>
        <v>200</v>
      </c>
      <c r="C230" s="6">
        <v>150.0</v>
      </c>
      <c r="D230" s="6">
        <f>D229+'JAN25'!$B230</f>
        <v>1802</v>
      </c>
      <c r="E230" s="6">
        <f>E229+'JAN25'!$C230</f>
        <v>2550</v>
      </c>
      <c r="F230" s="6">
        <f>35+35+40+90</f>
        <v>200</v>
      </c>
      <c r="G230" s="6"/>
    </row>
    <row r="231" ht="15.75" customHeight="1">
      <c r="A231" s="17">
        <v>45887.0</v>
      </c>
      <c r="B231" s="6">
        <f>'JAN25'!$F231+'JAN25'!$G231</f>
        <v>45</v>
      </c>
      <c r="C231" s="6">
        <v>150.0</v>
      </c>
      <c r="D231" s="6">
        <f>D230+'JAN25'!$B231</f>
        <v>1847</v>
      </c>
      <c r="E231" s="6">
        <f>E230+'JAN25'!$C231</f>
        <v>2700</v>
      </c>
      <c r="F231" s="6">
        <f>20+25</f>
        <v>45</v>
      </c>
      <c r="G231" s="6"/>
    </row>
    <row r="232" ht="15.75" customHeight="1">
      <c r="A232" s="17">
        <v>45888.0</v>
      </c>
      <c r="B232" s="6">
        <f>'JAN25'!$F232+'JAN25'!$G232</f>
        <v>30</v>
      </c>
      <c r="C232" s="6">
        <v>150.0</v>
      </c>
      <c r="D232" s="6">
        <f>D231+'JAN25'!$B232</f>
        <v>1877</v>
      </c>
      <c r="E232" s="6">
        <f>E231+'JAN25'!$C232</f>
        <v>2850</v>
      </c>
      <c r="F232" s="6">
        <v>30.0</v>
      </c>
      <c r="G232" s="6"/>
    </row>
    <row r="233" ht="15.75" customHeight="1">
      <c r="A233" s="17">
        <v>45889.0</v>
      </c>
      <c r="B233" s="6">
        <f>'JAN25'!$F233+'JAN25'!$G233</f>
        <v>70</v>
      </c>
      <c r="C233" s="6">
        <v>150.0</v>
      </c>
      <c r="D233" s="6">
        <f>D232+'JAN25'!$B233</f>
        <v>1947</v>
      </c>
      <c r="E233" s="6">
        <f>E232+'JAN25'!$C233</f>
        <v>3000</v>
      </c>
      <c r="F233" s="6">
        <v>70.0</v>
      </c>
      <c r="G233" s="6"/>
    </row>
    <row r="234" ht="15.75" customHeight="1">
      <c r="A234" s="17">
        <v>45890.0</v>
      </c>
      <c r="B234" s="6">
        <f>'JAN25'!$F234+'JAN25'!$G234</f>
        <v>85</v>
      </c>
      <c r="C234" s="6">
        <v>150.0</v>
      </c>
      <c r="D234" s="6">
        <f>D233+'JAN25'!$B234</f>
        <v>2032</v>
      </c>
      <c r="E234" s="6">
        <f>E233+'JAN25'!$C234</f>
        <v>3150</v>
      </c>
      <c r="F234" s="6">
        <f>60+25</f>
        <v>85</v>
      </c>
      <c r="G234" s="6"/>
    </row>
    <row r="235" ht="15.75" customHeight="1">
      <c r="A235" s="17">
        <v>45891.0</v>
      </c>
      <c r="B235" s="6">
        <f>'JAN25'!$F235+'JAN25'!$G235</f>
        <v>184</v>
      </c>
      <c r="C235" s="6">
        <v>150.0</v>
      </c>
      <c r="D235" s="6">
        <f>D234+'JAN25'!$B235</f>
        <v>2216</v>
      </c>
      <c r="E235" s="6">
        <f>E234+'JAN25'!$C235</f>
        <v>3300</v>
      </c>
      <c r="F235" s="6">
        <f>64+120</f>
        <v>184</v>
      </c>
      <c r="G235" s="6"/>
    </row>
    <row r="236" ht="15.75" customHeight="1">
      <c r="A236" s="17">
        <v>45892.0</v>
      </c>
      <c r="B236" s="6">
        <f>'JAN25'!$F236+'JAN25'!$G236</f>
        <v>0</v>
      </c>
      <c r="C236" s="6">
        <v>150.0</v>
      </c>
      <c r="D236" s="6">
        <f>D235+'JAN25'!$B236</f>
        <v>2216</v>
      </c>
      <c r="E236" s="6">
        <f>E235+'JAN25'!$C236</f>
        <v>3450</v>
      </c>
      <c r="F236" s="6"/>
      <c r="G236" s="6"/>
    </row>
    <row r="237" ht="15.75" customHeight="1">
      <c r="A237" s="17">
        <v>45893.0</v>
      </c>
      <c r="B237" s="6">
        <f>'JAN25'!$F237+'JAN25'!$G237</f>
        <v>0</v>
      </c>
      <c r="C237" s="6">
        <v>150.0</v>
      </c>
      <c r="D237" s="6">
        <f>D236+'JAN25'!$B237</f>
        <v>2216</v>
      </c>
      <c r="E237" s="6">
        <f>E236+'JAN25'!$C237</f>
        <v>3600</v>
      </c>
      <c r="F237" s="6"/>
      <c r="G237" s="6"/>
    </row>
    <row r="238" ht="15.75" customHeight="1">
      <c r="A238" s="17">
        <v>45894.0</v>
      </c>
      <c r="B238" s="6">
        <f>'JAN25'!$F238+'JAN25'!$G238</f>
        <v>115</v>
      </c>
      <c r="C238" s="6">
        <v>150.0</v>
      </c>
      <c r="D238" s="6">
        <f>D237+'JAN25'!$B238</f>
        <v>2331</v>
      </c>
      <c r="E238" s="6">
        <f>E237+'JAN25'!$C238</f>
        <v>3750</v>
      </c>
      <c r="F238" s="6">
        <f>90+25</f>
        <v>115</v>
      </c>
      <c r="G238" s="6"/>
    </row>
    <row r="239" ht="15.75" customHeight="1">
      <c r="A239" s="17">
        <v>45895.0</v>
      </c>
      <c r="B239" s="6">
        <f>'JAN25'!$F239+'JAN25'!$G239</f>
        <v>0</v>
      </c>
      <c r="C239" s="6">
        <v>150.0</v>
      </c>
      <c r="D239" s="6">
        <f>D238+'JAN25'!$B239</f>
        <v>2331</v>
      </c>
      <c r="E239" s="6">
        <f>E238+'JAN25'!$C239</f>
        <v>3900</v>
      </c>
      <c r="F239" s="6"/>
      <c r="G239" s="6"/>
    </row>
    <row r="240" ht="15.75" customHeight="1">
      <c r="A240" s="17">
        <v>45896.0</v>
      </c>
      <c r="B240" s="6">
        <f>'JAN25'!$F240+'JAN25'!$G240</f>
        <v>0</v>
      </c>
      <c r="C240" s="6">
        <v>150.0</v>
      </c>
      <c r="D240" s="6">
        <f>D239+'JAN25'!$B240</f>
        <v>2331</v>
      </c>
      <c r="E240" s="6">
        <f>E239+'JAN25'!$C240</f>
        <v>4050</v>
      </c>
      <c r="F240" s="6"/>
      <c r="G240" s="6"/>
    </row>
    <row r="241" ht="15.75" customHeight="1">
      <c r="A241" s="17">
        <v>45897.0</v>
      </c>
      <c r="B241" s="6">
        <f>'JAN25'!$F241+'JAN25'!$G241</f>
        <v>30</v>
      </c>
      <c r="C241" s="6">
        <v>150.0</v>
      </c>
      <c r="D241" s="6">
        <f>D240+'JAN25'!$B241</f>
        <v>2361</v>
      </c>
      <c r="E241" s="6">
        <f>E240+'JAN25'!$C241</f>
        <v>4200</v>
      </c>
      <c r="F241" s="6">
        <v>30.0</v>
      </c>
      <c r="G241" s="6"/>
    </row>
    <row r="242" ht="15.75" customHeight="1">
      <c r="A242" s="17">
        <v>45898.0</v>
      </c>
      <c r="B242" s="6">
        <f>'JAN25'!$F242+'JAN25'!$G242</f>
        <v>153</v>
      </c>
      <c r="C242" s="6">
        <v>150.0</v>
      </c>
      <c r="D242" s="6">
        <f>D241+'JAN25'!$B242</f>
        <v>2514</v>
      </c>
      <c r="E242" s="6">
        <f>E241+'JAN25'!$C242</f>
        <v>4350</v>
      </c>
      <c r="F242" s="6">
        <v>50.0</v>
      </c>
      <c r="G242" s="6">
        <v>103.0</v>
      </c>
    </row>
    <row r="243" ht="15.75" customHeight="1">
      <c r="A243" s="17">
        <v>45899.0</v>
      </c>
      <c r="B243" s="6">
        <f>'JAN25'!$F243+'JAN25'!$G243</f>
        <v>40</v>
      </c>
      <c r="C243" s="6">
        <v>150.0</v>
      </c>
      <c r="D243" s="6">
        <f>D242+'JAN25'!$B243</f>
        <v>2554</v>
      </c>
      <c r="E243" s="6">
        <f>E242+'JAN25'!$C243</f>
        <v>4500</v>
      </c>
      <c r="F243" s="6">
        <v>40.0</v>
      </c>
      <c r="G243" s="6"/>
    </row>
    <row r="244" ht="15.75" customHeight="1">
      <c r="A244" s="17">
        <v>45900.0</v>
      </c>
      <c r="B244" s="6">
        <f>'JAN25'!$F244+'JAN25'!$G244</f>
        <v>170</v>
      </c>
      <c r="C244" s="6">
        <v>150.0</v>
      </c>
      <c r="D244" s="6">
        <f>D243+'JAN25'!$B244</f>
        <v>2724</v>
      </c>
      <c r="E244" s="6">
        <f>E243+'JAN25'!$C244</f>
        <v>4650</v>
      </c>
      <c r="F244" s="6">
        <f>120+50</f>
        <v>170</v>
      </c>
      <c r="G244" s="6"/>
    </row>
    <row r="245" ht="15.75" customHeight="1">
      <c r="A245" s="18">
        <v>45901.0</v>
      </c>
      <c r="B245" s="6">
        <f>'JAN25'!$F245+'JAN25'!$G245</f>
        <v>30</v>
      </c>
      <c r="C245" s="6">
        <v>150.0</v>
      </c>
      <c r="D245" s="6">
        <f>'JAN25'!$B245</f>
        <v>30</v>
      </c>
      <c r="E245" s="6">
        <f>'JAN25'!$C245</f>
        <v>150</v>
      </c>
      <c r="F245" s="6">
        <v>30.0</v>
      </c>
      <c r="G245" s="6"/>
      <c r="I245" s="7" t="s">
        <v>7</v>
      </c>
      <c r="J245" s="7">
        <v>1000.0</v>
      </c>
      <c r="L245" s="8" t="s">
        <v>41</v>
      </c>
      <c r="M245" s="7">
        <v>111771.0</v>
      </c>
    </row>
    <row r="246" ht="15.75" customHeight="1">
      <c r="A246" s="18">
        <v>45902.0</v>
      </c>
      <c r="B246" s="6">
        <f>'JAN25'!$F246+'JAN25'!$G246</f>
        <v>115</v>
      </c>
      <c r="C246" s="6">
        <v>150.0</v>
      </c>
      <c r="D246" s="6">
        <f>D245+'JAN25'!$B246</f>
        <v>145</v>
      </c>
      <c r="E246" s="6">
        <f>E245+'JAN25'!$C246</f>
        <v>300</v>
      </c>
      <c r="F246" s="6">
        <f>35+60+20</f>
        <v>115</v>
      </c>
      <c r="G246" s="6"/>
      <c r="I246" s="7" t="s">
        <v>8</v>
      </c>
      <c r="J246" s="7">
        <v>2000.0</v>
      </c>
      <c r="L246" s="7" t="s">
        <v>37</v>
      </c>
      <c r="M246" s="7">
        <f>SUM(J245:J256)</f>
        <v>24332</v>
      </c>
    </row>
    <row r="247" ht="15.75" customHeight="1">
      <c r="A247" s="18">
        <v>45903.0</v>
      </c>
      <c r="B247" s="6">
        <f>'JAN25'!$F247+'JAN25'!$G247</f>
        <v>0</v>
      </c>
      <c r="C247" s="6">
        <v>150.0</v>
      </c>
      <c r="D247" s="6">
        <f>D246+'JAN25'!$B247</f>
        <v>145</v>
      </c>
      <c r="E247" s="6">
        <f>E246+'JAN25'!$C247</f>
        <v>450</v>
      </c>
      <c r="F247" s="6"/>
      <c r="G247" s="6"/>
      <c r="I247" s="7" t="s">
        <v>19</v>
      </c>
      <c r="J247" s="7">
        <v>500.0</v>
      </c>
      <c r="L247" s="8" t="s">
        <v>42</v>
      </c>
      <c r="M247" s="7">
        <f>M245-M246</f>
        <v>87439</v>
      </c>
    </row>
    <row r="248" ht="15.75" customHeight="1">
      <c r="A248" s="18">
        <v>45904.0</v>
      </c>
      <c r="B248" s="6">
        <f>'JAN25'!$F248+'JAN25'!$G248</f>
        <v>170</v>
      </c>
      <c r="C248" s="6">
        <v>150.0</v>
      </c>
      <c r="D248" s="6">
        <f>D247+'JAN25'!$B248</f>
        <v>315</v>
      </c>
      <c r="E248" s="6">
        <f>E247+'JAN25'!$C248</f>
        <v>600</v>
      </c>
      <c r="F248" s="6">
        <f>40+130</f>
        <v>170</v>
      </c>
      <c r="G248" s="6"/>
      <c r="I248" s="7" t="s">
        <v>11</v>
      </c>
      <c r="J248" s="7">
        <f>D274</f>
        <v>2025</v>
      </c>
      <c r="M248" s="7">
        <v>32460.0</v>
      </c>
    </row>
    <row r="249" ht="15.75" customHeight="1">
      <c r="A249" s="18">
        <v>45905.0</v>
      </c>
      <c r="B249" s="6">
        <f>'JAN25'!$F249+'JAN25'!$G249</f>
        <v>46</v>
      </c>
      <c r="C249" s="6">
        <v>150.0</v>
      </c>
      <c r="D249" s="6">
        <f>D248+'JAN25'!$B249</f>
        <v>361</v>
      </c>
      <c r="E249" s="6">
        <f>E248+'JAN25'!$C249</f>
        <v>750</v>
      </c>
      <c r="F249" s="6">
        <f>26</f>
        <v>26</v>
      </c>
      <c r="G249" s="6">
        <v>20.0</v>
      </c>
      <c r="I249" s="7" t="s">
        <v>14</v>
      </c>
    </row>
    <row r="250" ht="15.75" customHeight="1">
      <c r="A250" s="18">
        <v>45906.0</v>
      </c>
      <c r="B250" s="6">
        <f>'JAN25'!$F250+'JAN25'!$G250</f>
        <v>0</v>
      </c>
      <c r="C250" s="6">
        <v>150.0</v>
      </c>
      <c r="D250" s="6">
        <f>D249+'JAN25'!$B250</f>
        <v>361</v>
      </c>
      <c r="E250" s="6">
        <f>E249+'JAN25'!$C250</f>
        <v>900</v>
      </c>
      <c r="F250" s="6"/>
      <c r="G250" s="6"/>
      <c r="I250" s="7" t="s">
        <v>10</v>
      </c>
      <c r="J250" s="7">
        <v>7000.0</v>
      </c>
    </row>
    <row r="251" ht="15.75" customHeight="1">
      <c r="A251" s="18">
        <v>45907.0</v>
      </c>
      <c r="B251" s="6">
        <f>'JAN25'!$F251+'JAN25'!$G251</f>
        <v>50</v>
      </c>
      <c r="C251" s="6">
        <v>150.0</v>
      </c>
      <c r="D251" s="6">
        <f>D250+'JAN25'!$B251</f>
        <v>411</v>
      </c>
      <c r="E251" s="6">
        <f>E250+'JAN25'!$C251</f>
        <v>1050</v>
      </c>
      <c r="F251" s="6">
        <v>50.0</v>
      </c>
      <c r="G251" s="6"/>
      <c r="I251" s="7" t="s">
        <v>17</v>
      </c>
      <c r="J251" s="7">
        <v>2500.0</v>
      </c>
    </row>
    <row r="252" ht="15.75" customHeight="1">
      <c r="A252" s="18">
        <v>45908.0</v>
      </c>
      <c r="B252" s="6">
        <f>'JAN25'!$F252+'JAN25'!$G252</f>
        <v>35</v>
      </c>
      <c r="C252" s="6">
        <v>150.0</v>
      </c>
      <c r="D252" s="6">
        <f>D251+'JAN25'!$B252</f>
        <v>446</v>
      </c>
      <c r="E252" s="6">
        <f>E251+'JAN25'!$C252</f>
        <v>1200</v>
      </c>
      <c r="F252" s="6">
        <f>35</f>
        <v>35</v>
      </c>
      <c r="G252" s="6"/>
      <c r="I252" s="7" t="s">
        <v>12</v>
      </c>
      <c r="J252" s="7">
        <f>1021+1083</f>
        <v>2104</v>
      </c>
    </row>
    <row r="253" ht="15.75" customHeight="1">
      <c r="A253" s="18">
        <v>45909.0</v>
      </c>
      <c r="B253" s="6">
        <f>'JAN25'!$F253+'JAN25'!$G253</f>
        <v>210</v>
      </c>
      <c r="C253" s="6">
        <v>150.0</v>
      </c>
      <c r="D253" s="6">
        <f>D252+'JAN25'!$B253</f>
        <v>656</v>
      </c>
      <c r="E253" s="6">
        <f>E252+'JAN25'!$C253</f>
        <v>1350</v>
      </c>
      <c r="F253" s="6">
        <f>160+50</f>
        <v>210</v>
      </c>
      <c r="G253" s="6"/>
      <c r="I253" s="7" t="s">
        <v>43</v>
      </c>
      <c r="J253" s="7">
        <v>188.0</v>
      </c>
    </row>
    <row r="254" ht="15.75" customHeight="1">
      <c r="A254" s="18">
        <v>45910.0</v>
      </c>
      <c r="B254" s="6">
        <f>'JAN25'!$F254+'JAN25'!$G254</f>
        <v>0</v>
      </c>
      <c r="C254" s="6">
        <v>150.0</v>
      </c>
      <c r="D254" s="6">
        <f>D253+'JAN25'!$B254</f>
        <v>656</v>
      </c>
      <c r="E254" s="6">
        <f>E253+'JAN25'!$C254</f>
        <v>1500</v>
      </c>
      <c r="F254" s="6"/>
      <c r="G254" s="6"/>
      <c r="I254" s="7" t="s">
        <v>27</v>
      </c>
      <c r="J254" s="7">
        <v>315.0</v>
      </c>
    </row>
    <row r="255" ht="15.75" customHeight="1">
      <c r="A255" s="18">
        <v>45911.0</v>
      </c>
      <c r="B255" s="6">
        <f>'JAN25'!$F255+'JAN25'!$G255</f>
        <v>45</v>
      </c>
      <c r="C255" s="6">
        <v>150.0</v>
      </c>
      <c r="D255" s="6">
        <f>D254+'JAN25'!$B255</f>
        <v>701</v>
      </c>
      <c r="E255" s="6">
        <f>E254+'JAN25'!$C255</f>
        <v>1650</v>
      </c>
      <c r="F255" s="6">
        <f>45</f>
        <v>45</v>
      </c>
      <c r="G255" s="6"/>
      <c r="I255" s="7" t="s">
        <v>23</v>
      </c>
      <c r="J255" s="7">
        <f>700</f>
        <v>700</v>
      </c>
    </row>
    <row r="256" ht="15.75" customHeight="1">
      <c r="A256" s="18">
        <v>45912.0</v>
      </c>
      <c r="B256" s="6">
        <f>'JAN25'!$F256+'JAN25'!$G256</f>
        <v>205</v>
      </c>
      <c r="C256" s="6">
        <v>150.0</v>
      </c>
      <c r="D256" s="6">
        <f>D255+'JAN25'!$B256</f>
        <v>906</v>
      </c>
      <c r="E256" s="6">
        <f>E255+'JAN25'!$C256</f>
        <v>1800</v>
      </c>
      <c r="F256" s="6">
        <f>30+15+40</f>
        <v>85</v>
      </c>
      <c r="G256" s="6">
        <v>120.0</v>
      </c>
      <c r="I256" s="7" t="s">
        <v>8</v>
      </c>
      <c r="J256" s="9">
        <v>6000.0</v>
      </c>
    </row>
    <row r="257" ht="15.75" customHeight="1">
      <c r="A257" s="18">
        <v>45913.0</v>
      </c>
      <c r="B257" s="6">
        <f>'JAN25'!$F257+'JAN25'!$G257</f>
        <v>105</v>
      </c>
      <c r="C257" s="6">
        <v>150.0</v>
      </c>
      <c r="D257" s="6">
        <f>D256+'JAN25'!$B257</f>
        <v>1011</v>
      </c>
      <c r="E257" s="6">
        <f>E256+'JAN25'!$C257</f>
        <v>1950</v>
      </c>
      <c r="F257" s="6">
        <f>15+60+30</f>
        <v>105</v>
      </c>
      <c r="G257" s="6"/>
      <c r="J257" s="7">
        <f>3976+748</f>
        <v>4724</v>
      </c>
    </row>
    <row r="258" ht="15.75" customHeight="1">
      <c r="A258" s="18">
        <v>45914.0</v>
      </c>
      <c r="B258" s="6">
        <f>'JAN25'!$F258+'JAN25'!$G258</f>
        <v>90</v>
      </c>
      <c r="C258" s="6">
        <v>150.0</v>
      </c>
      <c r="D258" s="6">
        <f>D257+'JAN25'!$B258</f>
        <v>1101</v>
      </c>
      <c r="E258" s="6">
        <f>E257+'JAN25'!$C258</f>
        <v>2100</v>
      </c>
      <c r="F258" s="6">
        <f>50+40</f>
        <v>90</v>
      </c>
      <c r="G258" s="6"/>
    </row>
    <row r="259" ht="15.75" customHeight="1">
      <c r="A259" s="18">
        <v>45915.0</v>
      </c>
      <c r="B259" s="6">
        <f>'JAN25'!$F259+'JAN25'!$G259</f>
        <v>20</v>
      </c>
      <c r="C259" s="6">
        <v>150.0</v>
      </c>
      <c r="D259" s="6">
        <f>D258+'JAN25'!$B259</f>
        <v>1121</v>
      </c>
      <c r="E259" s="6">
        <f>E258+'JAN25'!$C259</f>
        <v>2250</v>
      </c>
      <c r="F259" s="6">
        <f>20</f>
        <v>20</v>
      </c>
      <c r="G259" s="6"/>
    </row>
    <row r="260" ht="15.75" customHeight="1">
      <c r="A260" s="18">
        <v>45916.0</v>
      </c>
      <c r="B260" s="6">
        <f>'JAN25'!$F260+'JAN25'!$G260</f>
        <v>182</v>
      </c>
      <c r="C260" s="6">
        <v>150.0</v>
      </c>
      <c r="D260" s="6">
        <f>D259+'JAN25'!$B260</f>
        <v>1303</v>
      </c>
      <c r="E260" s="6">
        <f>E259+'JAN25'!$C260</f>
        <v>2400</v>
      </c>
      <c r="F260" s="6">
        <f>127+55</f>
        <v>182</v>
      </c>
      <c r="G260" s="6"/>
    </row>
    <row r="261" ht="15.75" customHeight="1">
      <c r="A261" s="18">
        <v>45917.0</v>
      </c>
      <c r="B261" s="6">
        <f>'JAN25'!$F261+'JAN25'!$G261</f>
        <v>30</v>
      </c>
      <c r="C261" s="6">
        <v>150.0</v>
      </c>
      <c r="D261" s="6">
        <f>D260+'JAN25'!$B261</f>
        <v>1333</v>
      </c>
      <c r="E261" s="6">
        <f>E260+'JAN25'!$C261</f>
        <v>2550</v>
      </c>
      <c r="F261" s="6">
        <v>30.0</v>
      </c>
      <c r="G261" s="6"/>
    </row>
    <row r="262" ht="15.75" customHeight="1">
      <c r="A262" s="18">
        <v>45918.0</v>
      </c>
      <c r="B262" s="6">
        <f>'JAN25'!$F262+'JAN25'!$G262</f>
        <v>10</v>
      </c>
      <c r="C262" s="6">
        <v>150.0</v>
      </c>
      <c r="D262" s="6">
        <f>D261+'JAN25'!$B262</f>
        <v>1343</v>
      </c>
      <c r="E262" s="6">
        <f>E261+'JAN25'!$C262</f>
        <v>2700</v>
      </c>
      <c r="F262" s="6">
        <v>10.0</v>
      </c>
      <c r="G262" s="6"/>
    </row>
    <row r="263" ht="15.75" customHeight="1">
      <c r="A263" s="18">
        <v>45919.0</v>
      </c>
      <c r="B263" s="6">
        <f>'JAN25'!$F263+'JAN25'!$G263</f>
        <v>110</v>
      </c>
      <c r="C263" s="6">
        <v>150.0</v>
      </c>
      <c r="D263" s="6">
        <f>D262+'JAN25'!$B263</f>
        <v>1453</v>
      </c>
      <c r="E263" s="6">
        <f>E262+'JAN25'!$C263</f>
        <v>2850</v>
      </c>
      <c r="F263" s="6">
        <f>110</f>
        <v>110</v>
      </c>
      <c r="G263" s="6"/>
    </row>
    <row r="264" ht="15.75" customHeight="1">
      <c r="A264" s="18">
        <v>45920.0</v>
      </c>
      <c r="B264" s="6">
        <f>'JAN25'!$F264+'JAN25'!$G264</f>
        <v>0</v>
      </c>
      <c r="C264" s="6">
        <v>150.0</v>
      </c>
      <c r="D264" s="6">
        <f>D263+'JAN25'!$B264</f>
        <v>1453</v>
      </c>
      <c r="E264" s="6">
        <f>E263+'JAN25'!$C264</f>
        <v>3000</v>
      </c>
      <c r="F264" s="6"/>
      <c r="G264" s="6"/>
    </row>
    <row r="265" ht="15.75" customHeight="1">
      <c r="A265" s="18">
        <v>45921.0</v>
      </c>
      <c r="B265" s="6">
        <f>'JAN25'!$F265+'JAN25'!$G265</f>
        <v>120</v>
      </c>
      <c r="C265" s="6">
        <v>150.0</v>
      </c>
      <c r="D265" s="6">
        <f>D264+'JAN25'!$B265</f>
        <v>1573</v>
      </c>
      <c r="E265" s="6">
        <f>E264+'JAN25'!$C265</f>
        <v>3150</v>
      </c>
      <c r="F265" s="6"/>
      <c r="G265" s="6">
        <v>120.0</v>
      </c>
    </row>
    <row r="266" ht="15.75" customHeight="1">
      <c r="A266" s="18">
        <v>45922.0</v>
      </c>
      <c r="B266" s="6">
        <f>'JAN25'!$F266+'JAN25'!$G266</f>
        <v>74</v>
      </c>
      <c r="C266" s="6">
        <v>150.0</v>
      </c>
      <c r="D266" s="6">
        <f>D265+'JAN25'!$B266</f>
        <v>1647</v>
      </c>
      <c r="E266" s="6">
        <f>E265+'JAN25'!$C266</f>
        <v>3300</v>
      </c>
      <c r="F266" s="6">
        <f>30+14+30</f>
        <v>74</v>
      </c>
      <c r="G266" s="6"/>
    </row>
    <row r="267" ht="15.75" customHeight="1">
      <c r="A267" s="18">
        <v>45923.0</v>
      </c>
      <c r="B267" s="6">
        <f>'JAN25'!$F267+'JAN25'!$G267</f>
        <v>130</v>
      </c>
      <c r="C267" s="6">
        <v>150.0</v>
      </c>
      <c r="D267" s="6">
        <f>D266+'JAN25'!$B267</f>
        <v>1777</v>
      </c>
      <c r="E267" s="6">
        <f>E266+'JAN25'!$C267</f>
        <v>3450</v>
      </c>
      <c r="F267" s="6">
        <f>70+60</f>
        <v>130</v>
      </c>
      <c r="G267" s="6"/>
    </row>
    <row r="268" ht="15.75" customHeight="1">
      <c r="A268" s="18">
        <v>45924.0</v>
      </c>
      <c r="B268" s="6">
        <f>'JAN25'!$F268+'JAN25'!$G268</f>
        <v>0</v>
      </c>
      <c r="C268" s="6">
        <v>150.0</v>
      </c>
      <c r="D268" s="6">
        <f>D267+'JAN25'!$B268</f>
        <v>1777</v>
      </c>
      <c r="E268" s="6">
        <f>E267+'JAN25'!$C268</f>
        <v>3600</v>
      </c>
      <c r="F268" s="6"/>
      <c r="G268" s="6"/>
    </row>
    <row r="269" ht="15.75" customHeight="1">
      <c r="A269" s="18">
        <v>45925.0</v>
      </c>
      <c r="B269" s="6">
        <f>'JAN25'!$F269+'JAN25'!$G269</f>
        <v>58</v>
      </c>
      <c r="C269" s="6">
        <v>150.0</v>
      </c>
      <c r="D269" s="6">
        <f>D268+'JAN25'!$B269</f>
        <v>1835</v>
      </c>
      <c r="E269" s="6">
        <f>E268+'JAN25'!$C269</f>
        <v>3750</v>
      </c>
      <c r="F269" s="6">
        <f>38+20</f>
        <v>58</v>
      </c>
      <c r="G269" s="6"/>
    </row>
    <row r="270" ht="15.75" customHeight="1">
      <c r="A270" s="18">
        <v>45926.0</v>
      </c>
      <c r="B270" s="6">
        <f>'JAN25'!$F270+'JAN25'!$G270</f>
        <v>70</v>
      </c>
      <c r="C270" s="6">
        <v>150.0</v>
      </c>
      <c r="D270" s="6">
        <f>D269+'JAN25'!$B270</f>
        <v>1905</v>
      </c>
      <c r="E270" s="6">
        <f>E269+'JAN25'!$C270</f>
        <v>3900</v>
      </c>
      <c r="F270" s="6">
        <v>70.0</v>
      </c>
      <c r="G270" s="6"/>
    </row>
    <row r="271" ht="15.75" customHeight="1">
      <c r="A271" s="18">
        <v>45927.0</v>
      </c>
      <c r="B271" s="6">
        <f>'JAN25'!$F271+'JAN25'!$G271</f>
        <v>120</v>
      </c>
      <c r="C271" s="6">
        <v>150.0</v>
      </c>
      <c r="D271" s="6">
        <f>D270+'JAN25'!$B271</f>
        <v>2025</v>
      </c>
      <c r="E271" s="6">
        <f>E270+'JAN25'!$C271</f>
        <v>4050</v>
      </c>
      <c r="F271" s="6">
        <f>20+70+30</f>
        <v>120</v>
      </c>
      <c r="G271" s="6"/>
    </row>
    <row r="272" ht="15.75" customHeight="1">
      <c r="A272" s="18">
        <v>45928.0</v>
      </c>
      <c r="B272" s="6">
        <f>'JAN25'!$F272+'JAN25'!$G272</f>
        <v>0</v>
      </c>
      <c r="C272" s="6">
        <v>150.0</v>
      </c>
      <c r="D272" s="6">
        <f>D271+'JAN25'!$B272</f>
        <v>2025</v>
      </c>
      <c r="E272" s="6">
        <f>E271+'JAN25'!$C272</f>
        <v>4200</v>
      </c>
      <c r="F272" s="6"/>
      <c r="G272" s="6"/>
    </row>
    <row r="273" ht="15.75" customHeight="1">
      <c r="A273" s="18">
        <v>45929.0</v>
      </c>
      <c r="B273" s="6">
        <f>'JAN25'!$F273+'JAN25'!$G273</f>
        <v>0</v>
      </c>
      <c r="C273" s="6">
        <v>150.0</v>
      </c>
      <c r="D273" s="6">
        <f>D272+'JAN25'!$B273</f>
        <v>2025</v>
      </c>
      <c r="E273" s="6">
        <f>E272+'JAN25'!$C273</f>
        <v>4350</v>
      </c>
      <c r="F273" s="6"/>
      <c r="G273" s="6"/>
    </row>
    <row r="274" ht="15.75" customHeight="1">
      <c r="A274" s="18">
        <v>45930.0</v>
      </c>
      <c r="B274" s="6">
        <f>'JAN25'!$F274+'JAN25'!$G274</f>
        <v>0</v>
      </c>
      <c r="C274" s="6">
        <v>150.0</v>
      </c>
      <c r="D274" s="6">
        <f>D273+'JAN25'!$B274</f>
        <v>2025</v>
      </c>
      <c r="E274" s="6">
        <f>E273+'JAN25'!$C274</f>
        <v>4500</v>
      </c>
      <c r="F274" s="6"/>
      <c r="G274" s="6"/>
    </row>
    <row r="275" ht="15.75" customHeight="1">
      <c r="A275" s="19">
        <v>45931.0</v>
      </c>
      <c r="B275" s="6">
        <f>'JAN25'!$F275+'JAN25'!$G275</f>
        <v>0</v>
      </c>
      <c r="C275" s="6">
        <v>150.0</v>
      </c>
      <c r="D275" s="6">
        <f>'JAN25'!$B275</f>
        <v>0</v>
      </c>
      <c r="E275" s="6">
        <f>'JAN25'!$C275</f>
        <v>150</v>
      </c>
      <c r="F275" s="6"/>
      <c r="G275" s="6"/>
      <c r="I275" s="7" t="s">
        <v>44</v>
      </c>
      <c r="J275" s="7">
        <v>1000.0</v>
      </c>
      <c r="L275" s="8" t="s">
        <v>45</v>
      </c>
      <c r="M275" s="7">
        <v>122802.0</v>
      </c>
      <c r="N275" s="7">
        <f>M275+16259+103380</f>
        <v>242441</v>
      </c>
    </row>
    <row r="276" ht="15.75" customHeight="1">
      <c r="A276" s="19">
        <v>45932.0</v>
      </c>
      <c r="B276" s="6">
        <f>'JAN25'!$F276+'JAN25'!$G276</f>
        <v>0</v>
      </c>
      <c r="C276" s="6">
        <v>150.0</v>
      </c>
      <c r="D276" s="6">
        <f>D275+'JAN25'!$B276</f>
        <v>0</v>
      </c>
      <c r="E276" s="6">
        <f>E275+'JAN25'!$C276</f>
        <v>300</v>
      </c>
      <c r="F276" s="6"/>
      <c r="G276" s="6"/>
      <c r="I276" s="7" t="s">
        <v>8</v>
      </c>
      <c r="J276" s="7">
        <v>2000.0</v>
      </c>
      <c r="M276" s="7">
        <f>SUM(J275:J282)</f>
        <v>22339</v>
      </c>
    </row>
    <row r="277" ht="15.75" customHeight="1">
      <c r="A277" s="19">
        <v>45933.0</v>
      </c>
      <c r="B277" s="6">
        <f>'JAN25'!$F277+'JAN25'!$G277</f>
        <v>0</v>
      </c>
      <c r="C277" s="6">
        <v>150.0</v>
      </c>
      <c r="D277" s="6">
        <f>D276+'JAN25'!$B277</f>
        <v>0</v>
      </c>
      <c r="E277" s="6">
        <f>E276+'JAN25'!$C277</f>
        <v>450</v>
      </c>
      <c r="F277" s="6"/>
      <c r="G277" s="6"/>
      <c r="I277" s="7" t="s">
        <v>19</v>
      </c>
      <c r="J277" s="7">
        <v>500.0</v>
      </c>
    </row>
    <row r="278" ht="15.75" customHeight="1">
      <c r="A278" s="19">
        <v>45934.0</v>
      </c>
      <c r="B278" s="6">
        <f>'JAN25'!$F278+'JAN25'!$G278</f>
        <v>0</v>
      </c>
      <c r="C278" s="6">
        <v>150.0</v>
      </c>
      <c r="D278" s="6">
        <f>D277+'JAN25'!$B278</f>
        <v>0</v>
      </c>
      <c r="E278" s="6">
        <f>E277+'JAN25'!$C278</f>
        <v>600</v>
      </c>
      <c r="F278" s="6"/>
      <c r="G278" s="6"/>
      <c r="I278" s="7" t="s">
        <v>11</v>
      </c>
      <c r="J278" s="7">
        <f>D305</f>
        <v>2026</v>
      </c>
    </row>
    <row r="279" ht="15.75" customHeight="1">
      <c r="A279" s="19">
        <v>45935.0</v>
      </c>
      <c r="B279" s="6">
        <f>'JAN25'!$F279+'JAN25'!$G279</f>
        <v>130</v>
      </c>
      <c r="C279" s="6">
        <v>150.0</v>
      </c>
      <c r="D279" s="6">
        <f>D278+'JAN25'!$B279</f>
        <v>130</v>
      </c>
      <c r="E279" s="6">
        <f>E278+'JAN25'!$C279</f>
        <v>750</v>
      </c>
      <c r="F279" s="6">
        <v>30.0</v>
      </c>
      <c r="G279" s="6">
        <f>50+50</f>
        <v>100</v>
      </c>
      <c r="I279" s="7" t="s">
        <v>10</v>
      </c>
      <c r="J279" s="7">
        <v>7000.0</v>
      </c>
    </row>
    <row r="280" ht="15.75" customHeight="1">
      <c r="A280" s="19">
        <v>45936.0</v>
      </c>
      <c r="B280" s="6">
        <f>'JAN25'!$F280+'JAN25'!$G280</f>
        <v>20</v>
      </c>
      <c r="C280" s="6">
        <v>150.0</v>
      </c>
      <c r="D280" s="6">
        <f>D279+'JAN25'!$B280</f>
        <v>150</v>
      </c>
      <c r="E280" s="6">
        <f>E279+'JAN25'!$C280</f>
        <v>900</v>
      </c>
      <c r="F280" s="6">
        <v>20.0</v>
      </c>
      <c r="G280" s="6"/>
      <c r="I280" s="7" t="s">
        <v>17</v>
      </c>
      <c r="J280" s="7">
        <v>2500.0</v>
      </c>
    </row>
    <row r="281" ht="15.75" customHeight="1">
      <c r="A281" s="19">
        <v>45937.0</v>
      </c>
      <c r="B281" s="6">
        <f>'JAN25'!$F281+'JAN25'!$G281</f>
        <v>70</v>
      </c>
      <c r="C281" s="6">
        <v>150.0</v>
      </c>
      <c r="D281" s="6">
        <f>D280+'JAN25'!$B281</f>
        <v>220</v>
      </c>
      <c r="E281" s="6">
        <f>E280+'JAN25'!$C281</f>
        <v>1050</v>
      </c>
      <c r="F281" s="6">
        <v>70.0</v>
      </c>
      <c r="G281" s="6"/>
      <c r="I281" s="7" t="s">
        <v>12</v>
      </c>
      <c r="J281" s="7">
        <f>1520</f>
        <v>1520</v>
      </c>
    </row>
    <row r="282" ht="15.75" customHeight="1">
      <c r="A282" s="19">
        <v>45938.0</v>
      </c>
      <c r="B282" s="6">
        <f>'JAN25'!$F282+'JAN25'!$G282</f>
        <v>205</v>
      </c>
      <c r="C282" s="6">
        <v>150.0</v>
      </c>
      <c r="D282" s="6">
        <f>D281+'JAN25'!$B282</f>
        <v>425</v>
      </c>
      <c r="E282" s="6">
        <f>E281+'JAN25'!$C282</f>
        <v>1200</v>
      </c>
      <c r="F282" s="6">
        <f>140+50+15</f>
        <v>205</v>
      </c>
      <c r="G282" s="6"/>
      <c r="I282" s="7" t="s">
        <v>23</v>
      </c>
      <c r="J282" s="7">
        <f>3190+1904+699</f>
        <v>5793</v>
      </c>
    </row>
    <row r="283" ht="15.75" customHeight="1">
      <c r="A283" s="19">
        <v>45939.0</v>
      </c>
      <c r="B283" s="6">
        <f>'JAN25'!$F283+'JAN25'!$G283</f>
        <v>60</v>
      </c>
      <c r="C283" s="6">
        <v>150.0</v>
      </c>
      <c r="D283" s="6">
        <f>D282+'JAN25'!$B283</f>
        <v>485</v>
      </c>
      <c r="E283" s="6">
        <f>E282+'JAN25'!$C283</f>
        <v>1350</v>
      </c>
      <c r="F283" s="6">
        <v>60.0</v>
      </c>
      <c r="G283" s="6"/>
    </row>
    <row r="284" ht="15.75" customHeight="1">
      <c r="A284" s="19">
        <v>45940.0</v>
      </c>
      <c r="B284" s="6">
        <f>'JAN25'!$F284+'JAN25'!$G284</f>
        <v>90</v>
      </c>
      <c r="C284" s="6">
        <v>150.0</v>
      </c>
      <c r="D284" s="6">
        <f>D283+'JAN25'!$B284</f>
        <v>575</v>
      </c>
      <c r="E284" s="6">
        <f>E283+'JAN25'!$C284</f>
        <v>1500</v>
      </c>
      <c r="F284" s="6">
        <v>90.0</v>
      </c>
      <c r="G284" s="6"/>
    </row>
    <row r="285" ht="15.75" customHeight="1">
      <c r="A285" s="19">
        <v>45941.0</v>
      </c>
      <c r="B285" s="6">
        <f>'JAN25'!$F285+'JAN25'!$G285</f>
        <v>0</v>
      </c>
      <c r="C285" s="6">
        <v>150.0</v>
      </c>
      <c r="D285" s="6">
        <f>D284+'JAN25'!$B285</f>
        <v>575</v>
      </c>
      <c r="E285" s="6">
        <f>E284+'JAN25'!$C285</f>
        <v>1650</v>
      </c>
      <c r="F285" s="6"/>
      <c r="G285" s="6"/>
    </row>
    <row r="286" ht="15.75" customHeight="1">
      <c r="A286" s="19">
        <v>45942.0</v>
      </c>
      <c r="B286" s="6">
        <f>'JAN25'!$F286+'JAN25'!$G286</f>
        <v>155</v>
      </c>
      <c r="C286" s="6">
        <v>150.0</v>
      </c>
      <c r="D286" s="6">
        <f>D285+'JAN25'!$B286</f>
        <v>730</v>
      </c>
      <c r="E286" s="6">
        <f>E285+'JAN25'!$C286</f>
        <v>1800</v>
      </c>
      <c r="F286" s="6">
        <f>30+70+40+15</f>
        <v>155</v>
      </c>
      <c r="G286" s="6"/>
    </row>
    <row r="287" ht="15.75" customHeight="1">
      <c r="A287" s="19">
        <v>45943.0</v>
      </c>
      <c r="B287" s="6">
        <f>'JAN25'!$F287+'JAN25'!$G287</f>
        <v>0</v>
      </c>
      <c r="C287" s="6">
        <v>150.0</v>
      </c>
      <c r="D287" s="6">
        <f>D286+'JAN25'!$B287</f>
        <v>730</v>
      </c>
      <c r="E287" s="6">
        <f>E286+'JAN25'!$C287</f>
        <v>1950</v>
      </c>
      <c r="F287" s="6"/>
      <c r="G287" s="6"/>
    </row>
    <row r="288" ht="15.75" customHeight="1">
      <c r="A288" s="19">
        <v>45944.0</v>
      </c>
      <c r="B288" s="6">
        <f>'JAN25'!$F288+'JAN25'!$G288</f>
        <v>135</v>
      </c>
      <c r="C288" s="6">
        <v>150.0</v>
      </c>
      <c r="D288" s="6">
        <f>D287+'JAN25'!$B288</f>
        <v>865</v>
      </c>
      <c r="E288" s="6">
        <f>E287+'JAN25'!$C288</f>
        <v>2100</v>
      </c>
      <c r="F288" s="6">
        <f>135</f>
        <v>135</v>
      </c>
      <c r="G288" s="6"/>
    </row>
    <row r="289" ht="15.75" customHeight="1">
      <c r="A289" s="19">
        <v>45945.0</v>
      </c>
      <c r="B289" s="6">
        <f>'JAN25'!$F289+'JAN25'!$G289</f>
        <v>0</v>
      </c>
      <c r="C289" s="6">
        <v>150.0</v>
      </c>
      <c r="D289" s="6">
        <f>D288+'JAN25'!$B289</f>
        <v>865</v>
      </c>
      <c r="E289" s="6">
        <f>E288+'JAN25'!$C289</f>
        <v>2250</v>
      </c>
      <c r="F289" s="6"/>
      <c r="G289" s="6"/>
    </row>
    <row r="290" ht="15.75" customHeight="1">
      <c r="A290" s="19">
        <v>45946.0</v>
      </c>
      <c r="B290" s="6">
        <f>'JAN25'!$F290+'JAN25'!$G290</f>
        <v>0</v>
      </c>
      <c r="C290" s="6">
        <v>150.0</v>
      </c>
      <c r="D290" s="6">
        <f>D289+'JAN25'!$B290</f>
        <v>865</v>
      </c>
      <c r="E290" s="6">
        <f>E289+'JAN25'!$C290</f>
        <v>2400</v>
      </c>
      <c r="F290" s="6"/>
      <c r="G290" s="6"/>
    </row>
    <row r="291" ht="15.75" customHeight="1">
      <c r="A291" s="19">
        <v>45947.0</v>
      </c>
      <c r="B291" s="6">
        <f>'JAN25'!$F291+'JAN25'!$G291</f>
        <v>40</v>
      </c>
      <c r="C291" s="6">
        <v>150.0</v>
      </c>
      <c r="D291" s="6">
        <f>D290+'JAN25'!$B291</f>
        <v>905</v>
      </c>
      <c r="E291" s="6">
        <f>E290+'JAN25'!$C291</f>
        <v>2550</v>
      </c>
      <c r="F291" s="6">
        <v>40.0</v>
      </c>
      <c r="G291" s="6"/>
    </row>
    <row r="292" ht="15.75" customHeight="1">
      <c r="A292" s="19">
        <v>45948.0</v>
      </c>
      <c r="B292" s="6">
        <f>'JAN25'!$F292+'JAN25'!$G292</f>
        <v>100</v>
      </c>
      <c r="C292" s="6">
        <v>150.0</v>
      </c>
      <c r="D292" s="6">
        <f>D291+'JAN25'!$B292</f>
        <v>1005</v>
      </c>
      <c r="E292" s="6">
        <f>E291+'JAN25'!$C292</f>
        <v>2700</v>
      </c>
      <c r="F292" s="6">
        <f>80+20</f>
        <v>100</v>
      </c>
      <c r="G292" s="6"/>
    </row>
    <row r="293" ht="15.75" customHeight="1">
      <c r="A293" s="19">
        <v>45949.0</v>
      </c>
      <c r="B293" s="6">
        <f>'JAN25'!$F293+'JAN25'!$G293</f>
        <v>766</v>
      </c>
      <c r="C293" s="6">
        <v>150.0</v>
      </c>
      <c r="D293" s="6">
        <f>D292+'JAN25'!$B293</f>
        <v>1771</v>
      </c>
      <c r="E293" s="6">
        <f>E292+'JAN25'!$C293</f>
        <v>2850</v>
      </c>
      <c r="F293" s="6">
        <f>392</f>
        <v>392</v>
      </c>
      <c r="G293" s="6">
        <f>49+205+70+40+10</f>
        <v>374</v>
      </c>
    </row>
    <row r="294" ht="15.75" customHeight="1">
      <c r="A294" s="19">
        <v>45950.0</v>
      </c>
      <c r="B294" s="6">
        <f>'JAN25'!$F294+'JAN25'!$G294</f>
        <v>70</v>
      </c>
      <c r="C294" s="6">
        <v>150.0</v>
      </c>
      <c r="D294" s="6">
        <f>D293+'JAN25'!$B294</f>
        <v>1841</v>
      </c>
      <c r="E294" s="6">
        <f>E293+'JAN25'!$C294</f>
        <v>3000</v>
      </c>
      <c r="F294" s="6">
        <f>50+20</f>
        <v>70</v>
      </c>
      <c r="G294" s="6"/>
    </row>
    <row r="295" ht="15.75" customHeight="1">
      <c r="A295" s="19">
        <v>45951.0</v>
      </c>
      <c r="B295" s="6">
        <f>'JAN25'!$F295+'JAN25'!$G295</f>
        <v>90</v>
      </c>
      <c r="C295" s="6">
        <v>150.0</v>
      </c>
      <c r="D295" s="6">
        <f>D294+'JAN25'!$B295</f>
        <v>1931</v>
      </c>
      <c r="E295" s="6">
        <f>E294+'JAN25'!$C295</f>
        <v>3150</v>
      </c>
      <c r="F295" s="6">
        <f>60+30</f>
        <v>90</v>
      </c>
      <c r="G295" s="6"/>
    </row>
    <row r="296" ht="15.75" customHeight="1">
      <c r="A296" s="19">
        <v>45952.0</v>
      </c>
      <c r="B296" s="6">
        <f>'JAN25'!$F296+'JAN25'!$G296</f>
        <v>25</v>
      </c>
      <c r="C296" s="6">
        <v>150.0</v>
      </c>
      <c r="D296" s="6">
        <f>D295+'JAN25'!$B296</f>
        <v>1956</v>
      </c>
      <c r="E296" s="6">
        <f>E295+'JAN25'!$C296</f>
        <v>3300</v>
      </c>
      <c r="F296" s="6">
        <v>25.0</v>
      </c>
      <c r="G296" s="6"/>
    </row>
    <row r="297" ht="15.75" customHeight="1">
      <c r="A297" s="19">
        <v>45953.0</v>
      </c>
      <c r="B297" s="6">
        <f>'JAN25'!$F297+'JAN25'!$G297</f>
        <v>70</v>
      </c>
      <c r="C297" s="6">
        <v>150.0</v>
      </c>
      <c r="D297" s="6">
        <f>D296+'JAN25'!$B297</f>
        <v>2026</v>
      </c>
      <c r="E297" s="6">
        <f>E296+'JAN25'!$C297</f>
        <v>3450</v>
      </c>
      <c r="F297" s="6">
        <f>50+20</f>
        <v>70</v>
      </c>
      <c r="G297" s="6"/>
    </row>
    <row r="298" ht="15.75" customHeight="1">
      <c r="A298" s="19">
        <v>45954.0</v>
      </c>
      <c r="B298" s="6">
        <f>'JAN25'!$F298+'JAN25'!$G298</f>
        <v>0</v>
      </c>
      <c r="C298" s="6">
        <v>150.0</v>
      </c>
      <c r="D298" s="6">
        <f>D297+'JAN25'!$B298</f>
        <v>2026</v>
      </c>
      <c r="E298" s="6">
        <f>E297+'JAN25'!$C298</f>
        <v>3600</v>
      </c>
      <c r="F298" s="6"/>
      <c r="G298" s="6"/>
    </row>
    <row r="299" ht="15.75" customHeight="1">
      <c r="A299" s="19">
        <v>45955.0</v>
      </c>
      <c r="B299" s="6">
        <f>'JAN25'!$F299+'JAN25'!$G299</f>
        <v>0</v>
      </c>
      <c r="C299" s="6">
        <v>150.0</v>
      </c>
      <c r="D299" s="6">
        <f>D298+'JAN25'!$B299</f>
        <v>2026</v>
      </c>
      <c r="E299" s="6">
        <f>E298+'JAN25'!$C299</f>
        <v>3750</v>
      </c>
      <c r="F299" s="6"/>
      <c r="G299" s="6"/>
    </row>
    <row r="300" ht="15.75" customHeight="1">
      <c r="A300" s="19">
        <v>45956.0</v>
      </c>
      <c r="B300" s="6">
        <f>'JAN25'!$F300+'JAN25'!$G300</f>
        <v>0</v>
      </c>
      <c r="C300" s="6">
        <v>150.0</v>
      </c>
      <c r="D300" s="6">
        <f>D299+'JAN25'!$B300</f>
        <v>2026</v>
      </c>
      <c r="E300" s="6">
        <f>E299+'JAN25'!$C300</f>
        <v>3900</v>
      </c>
      <c r="F300" s="6"/>
      <c r="G300" s="6"/>
    </row>
    <row r="301" ht="15.75" customHeight="1">
      <c r="A301" s="19">
        <v>45957.0</v>
      </c>
      <c r="B301" s="6">
        <f>'JAN25'!$F301+'JAN25'!$G301</f>
        <v>0</v>
      </c>
      <c r="C301" s="6">
        <v>150.0</v>
      </c>
      <c r="D301" s="6">
        <f>D300+'JAN25'!$B301</f>
        <v>2026</v>
      </c>
      <c r="E301" s="6">
        <f>E300+'JAN25'!$C301</f>
        <v>4050</v>
      </c>
      <c r="F301" s="6"/>
      <c r="G301" s="6"/>
    </row>
    <row r="302" ht="15.75" customHeight="1">
      <c r="A302" s="19">
        <v>45958.0</v>
      </c>
      <c r="B302" s="6">
        <f>'JAN25'!$F302+'JAN25'!$G302</f>
        <v>0</v>
      </c>
      <c r="C302" s="6">
        <v>150.0</v>
      </c>
      <c r="D302" s="6">
        <f>D301+'JAN25'!$B302</f>
        <v>2026</v>
      </c>
      <c r="E302" s="6">
        <f>E301+'JAN25'!$C302</f>
        <v>4200</v>
      </c>
      <c r="F302" s="6"/>
      <c r="G302" s="6"/>
    </row>
    <row r="303" ht="15.75" customHeight="1">
      <c r="A303" s="19">
        <v>45959.0</v>
      </c>
      <c r="B303" s="6">
        <f>'JAN25'!$F303+'JAN25'!$G303</f>
        <v>0</v>
      </c>
      <c r="C303" s="6">
        <v>150.0</v>
      </c>
      <c r="D303" s="6">
        <f>D302+'JAN25'!$B303</f>
        <v>2026</v>
      </c>
      <c r="E303" s="6">
        <f>E302+'JAN25'!$C303</f>
        <v>4350</v>
      </c>
      <c r="F303" s="6"/>
      <c r="G303" s="6"/>
    </row>
    <row r="304" ht="15.75" customHeight="1">
      <c r="A304" s="19">
        <v>45960.0</v>
      </c>
      <c r="B304" s="6">
        <f>'JAN25'!$F304+'JAN25'!$G304</f>
        <v>0</v>
      </c>
      <c r="C304" s="6">
        <v>150.0</v>
      </c>
      <c r="D304" s="6">
        <f>D303+'JAN25'!$B304</f>
        <v>2026</v>
      </c>
      <c r="E304" s="6">
        <f>E303+'JAN25'!$C304</f>
        <v>4500</v>
      </c>
      <c r="F304" s="6"/>
      <c r="G304" s="6"/>
    </row>
    <row r="305" ht="15.75" customHeight="1">
      <c r="A305" s="19">
        <v>45961.0</v>
      </c>
      <c r="B305" s="6">
        <f>'JAN25'!$F305+'JAN25'!$G305</f>
        <v>0</v>
      </c>
      <c r="C305" s="6">
        <v>150.0</v>
      </c>
      <c r="D305" s="6">
        <f>D304+'JAN25'!$B305</f>
        <v>2026</v>
      </c>
      <c r="E305" s="6">
        <f>E304+'JAN25'!$C305</f>
        <v>4650</v>
      </c>
      <c r="F305" s="6"/>
      <c r="G305" s="6"/>
    </row>
    <row r="306" ht="15.75" customHeight="1">
      <c r="A306" s="20">
        <v>45962.0</v>
      </c>
      <c r="B306" s="6">
        <f>'JAN25'!$F306+'JAN25'!$G306</f>
        <v>0</v>
      </c>
      <c r="C306" s="6">
        <v>150.0</v>
      </c>
      <c r="D306" s="6">
        <f>'JAN25'!$B306</f>
        <v>0</v>
      </c>
      <c r="E306" s="6">
        <f>'JAN25'!$C306</f>
        <v>150</v>
      </c>
      <c r="F306" s="6"/>
      <c r="G306" s="6"/>
      <c r="I306" s="7" t="s">
        <v>44</v>
      </c>
      <c r="J306" s="7">
        <v>1000.0</v>
      </c>
      <c r="L306" s="8" t="s">
        <v>46</v>
      </c>
      <c r="M306" s="3">
        <v>250696.0</v>
      </c>
    </row>
    <row r="307" ht="15.75" customHeight="1">
      <c r="A307" s="20">
        <v>45963.0</v>
      </c>
      <c r="B307" s="6">
        <f>'JAN25'!$F307+'JAN25'!$G307</f>
        <v>0</v>
      </c>
      <c r="C307" s="6">
        <v>150.0</v>
      </c>
      <c r="D307" s="6">
        <f>D306+'JAN25'!$B307</f>
        <v>0</v>
      </c>
      <c r="E307" s="6">
        <f>E306+'JAN25'!$C307</f>
        <v>300</v>
      </c>
      <c r="F307" s="6"/>
      <c r="G307" s="6"/>
      <c r="I307" s="7" t="s">
        <v>8</v>
      </c>
      <c r="J307" s="7">
        <v>2000.0</v>
      </c>
      <c r="L307" s="7" t="s">
        <v>39</v>
      </c>
      <c r="M307" s="7">
        <v>70000.0</v>
      </c>
    </row>
    <row r="308" ht="15.75" customHeight="1">
      <c r="A308" s="20">
        <v>45964.0</v>
      </c>
      <c r="B308" s="6">
        <f>'JAN25'!$F308+'JAN25'!$G308</f>
        <v>130</v>
      </c>
      <c r="C308" s="6">
        <v>150.0</v>
      </c>
      <c r="D308" s="6">
        <f>D307+'JAN25'!$B308</f>
        <v>130</v>
      </c>
      <c r="E308" s="6">
        <f>E307+'JAN25'!$C308</f>
        <v>450</v>
      </c>
      <c r="F308" s="6">
        <f>50+10</f>
        <v>60</v>
      </c>
      <c r="G308" s="6">
        <f>50+20</f>
        <v>70</v>
      </c>
      <c r="I308" s="7" t="s">
        <v>19</v>
      </c>
      <c r="J308" s="7">
        <v>500.0</v>
      </c>
      <c r="L308" s="7" t="s">
        <v>47</v>
      </c>
      <c r="M308" s="7">
        <v>8500.0</v>
      </c>
    </row>
    <row r="309" ht="15.75" customHeight="1">
      <c r="A309" s="20">
        <v>45965.0</v>
      </c>
      <c r="B309" s="6">
        <f>'JAN25'!$F309+'JAN25'!$G309</f>
        <v>60</v>
      </c>
      <c r="C309" s="6">
        <v>150.0</v>
      </c>
      <c r="D309" s="6">
        <f>D308+'JAN25'!$B309</f>
        <v>190</v>
      </c>
      <c r="E309" s="6">
        <f>E308+'JAN25'!$C309</f>
        <v>600</v>
      </c>
      <c r="F309" s="6">
        <v>60.0</v>
      </c>
      <c r="G309" s="6"/>
      <c r="I309" s="7" t="s">
        <v>11</v>
      </c>
      <c r="J309" s="7">
        <f>D335</f>
        <v>2940</v>
      </c>
      <c r="L309" s="7" t="s">
        <v>48</v>
      </c>
      <c r="M309" s="7">
        <f>SUM(J306:J315)</f>
        <v>39639</v>
      </c>
    </row>
    <row r="310" ht="15.75" customHeight="1">
      <c r="A310" s="20">
        <v>45966.0</v>
      </c>
      <c r="B310" s="6">
        <f>'JAN25'!$F310+'JAN25'!$G310</f>
        <v>0</v>
      </c>
      <c r="C310" s="6">
        <v>150.0</v>
      </c>
      <c r="D310" s="6">
        <f>D309+'JAN25'!$B310</f>
        <v>190</v>
      </c>
      <c r="E310" s="6">
        <f>E309+'JAN25'!$C310</f>
        <v>750</v>
      </c>
      <c r="F310" s="6"/>
      <c r="G310" s="6"/>
      <c r="I310" s="7" t="s">
        <v>10</v>
      </c>
      <c r="J310" s="7">
        <v>7000.0</v>
      </c>
      <c r="L310" s="7" t="s">
        <v>49</v>
      </c>
      <c r="M310" s="7">
        <v>50000.0</v>
      </c>
    </row>
    <row r="311" ht="15.75" customHeight="1">
      <c r="A311" s="20">
        <v>45967.0</v>
      </c>
      <c r="B311" s="6">
        <f>'JAN25'!$F311+'JAN25'!$G311</f>
        <v>14</v>
      </c>
      <c r="C311" s="6">
        <v>150.0</v>
      </c>
      <c r="D311" s="6">
        <f>D310+'JAN25'!$B311</f>
        <v>204</v>
      </c>
      <c r="E311" s="6">
        <f>E310+'JAN25'!$C311</f>
        <v>900</v>
      </c>
      <c r="F311" s="6">
        <v>14.0</v>
      </c>
      <c r="G311" s="6"/>
      <c r="I311" s="7" t="s">
        <v>17</v>
      </c>
      <c r="J311" s="7">
        <v>2500.0</v>
      </c>
      <c r="L311" s="7" t="s">
        <v>50</v>
      </c>
      <c r="M311" s="7">
        <f>M306-M307-M308-M309-M310</f>
        <v>82557</v>
      </c>
    </row>
    <row r="312" ht="15.75" customHeight="1">
      <c r="A312" s="20">
        <v>45968.0</v>
      </c>
      <c r="B312" s="6">
        <f>'JAN25'!$F312+'JAN25'!$G312</f>
        <v>140</v>
      </c>
      <c r="C312" s="6">
        <v>150.0</v>
      </c>
      <c r="D312" s="6">
        <f>D311+'JAN25'!$B312</f>
        <v>344</v>
      </c>
      <c r="E312" s="6">
        <f>E311+'JAN25'!$C312</f>
        <v>1050</v>
      </c>
      <c r="F312" s="6">
        <f>110+30</f>
        <v>140</v>
      </c>
      <c r="G312" s="6"/>
      <c r="I312" s="7" t="s">
        <v>12</v>
      </c>
      <c r="J312" s="7">
        <v>4723.0</v>
      </c>
    </row>
    <row r="313" ht="15.75" customHeight="1">
      <c r="A313" s="20">
        <v>45969.0</v>
      </c>
      <c r="B313" s="6">
        <f>'JAN25'!$F313+'JAN25'!$G313</f>
        <v>185</v>
      </c>
      <c r="C313" s="6">
        <v>150.0</v>
      </c>
      <c r="D313" s="6">
        <f>D312+'JAN25'!$B313</f>
        <v>529</v>
      </c>
      <c r="E313" s="6">
        <f>E312+'JAN25'!$C313</f>
        <v>1200</v>
      </c>
      <c r="F313" s="6">
        <f>65+40+20</f>
        <v>125</v>
      </c>
      <c r="G313" s="6">
        <v>60.0</v>
      </c>
      <c r="I313" s="7" t="s">
        <v>23</v>
      </c>
      <c r="J313" s="7">
        <v>3976.0</v>
      </c>
    </row>
    <row r="314" ht="15.75" customHeight="1">
      <c r="A314" s="20">
        <v>45970.0</v>
      </c>
      <c r="B314" s="6">
        <f>'JAN25'!$F314+'JAN25'!$G314</f>
        <v>258</v>
      </c>
      <c r="C314" s="6">
        <v>150.0</v>
      </c>
      <c r="D314" s="6">
        <f>D313+'JAN25'!$B314</f>
        <v>787</v>
      </c>
      <c r="E314" s="6">
        <f>E313+'JAN25'!$C314</f>
        <v>1350</v>
      </c>
      <c r="F314" s="6">
        <v>180.0</v>
      </c>
      <c r="G314" s="6">
        <f>78</f>
        <v>78</v>
      </c>
      <c r="I314" s="7" t="s">
        <v>14</v>
      </c>
      <c r="J314" s="7">
        <v>3000.0</v>
      </c>
    </row>
    <row r="315" ht="15.75" customHeight="1">
      <c r="A315" s="20">
        <v>45971.0</v>
      </c>
      <c r="B315" s="6">
        <f>'JAN25'!$F315+'JAN25'!$G315</f>
        <v>75</v>
      </c>
      <c r="C315" s="6">
        <v>150.0</v>
      </c>
      <c r="D315" s="6">
        <f>D314+'JAN25'!$B315</f>
        <v>862</v>
      </c>
      <c r="E315" s="6">
        <f>E314+'JAN25'!$C315</f>
        <v>1500</v>
      </c>
      <c r="F315" s="6">
        <f>40+35</f>
        <v>75</v>
      </c>
      <c r="G315" s="6"/>
      <c r="I315" s="7" t="s">
        <v>8</v>
      </c>
      <c r="J315" s="7">
        <v>12000.0</v>
      </c>
    </row>
    <row r="316" ht="15.75" customHeight="1">
      <c r="A316" s="20">
        <v>45972.0</v>
      </c>
      <c r="B316" s="6">
        <f>'JAN25'!$F316+'JAN25'!$G316</f>
        <v>220</v>
      </c>
      <c r="C316" s="6">
        <v>150.0</v>
      </c>
      <c r="D316" s="6">
        <f>D315+'JAN25'!$B316</f>
        <v>1082</v>
      </c>
      <c r="E316" s="6">
        <f>E315+'JAN25'!$C316</f>
        <v>1650</v>
      </c>
      <c r="F316" s="6">
        <f>100+120</f>
        <v>220</v>
      </c>
      <c r="G316" s="6"/>
    </row>
    <row r="317" ht="15.75" customHeight="1">
      <c r="A317" s="20">
        <v>45973.0</v>
      </c>
      <c r="B317" s="6">
        <f>'JAN25'!$F317+'JAN25'!$G317</f>
        <v>0</v>
      </c>
      <c r="C317" s="6">
        <v>150.0</v>
      </c>
      <c r="D317" s="6">
        <f>D316+'JAN25'!$B317</f>
        <v>1082</v>
      </c>
      <c r="E317" s="6">
        <f>E316+'JAN25'!$C317</f>
        <v>1800</v>
      </c>
      <c r="F317" s="6"/>
      <c r="G317" s="6"/>
    </row>
    <row r="318" ht="15.75" customHeight="1">
      <c r="A318" s="20">
        <v>45974.0</v>
      </c>
      <c r="B318" s="6">
        <f>'JAN25'!$F318+'JAN25'!$G318</f>
        <v>0</v>
      </c>
      <c r="C318" s="6">
        <v>150.0</v>
      </c>
      <c r="D318" s="6">
        <f>D317+'JAN25'!$B318</f>
        <v>1082</v>
      </c>
      <c r="E318" s="6">
        <f>E317+'JAN25'!$C318</f>
        <v>1950</v>
      </c>
      <c r="F318" s="6"/>
      <c r="G318" s="6"/>
    </row>
    <row r="319" ht="15.75" customHeight="1">
      <c r="A319" s="20">
        <v>45975.0</v>
      </c>
      <c r="B319" s="6">
        <f>'JAN25'!$F319+'JAN25'!$G319</f>
        <v>130</v>
      </c>
      <c r="C319" s="6">
        <v>150.0</v>
      </c>
      <c r="D319" s="6">
        <f>D318+'JAN25'!$B319</f>
        <v>1212</v>
      </c>
      <c r="E319" s="6">
        <f>E318+'JAN25'!$C319</f>
        <v>2100</v>
      </c>
      <c r="F319" s="6">
        <f>130</f>
        <v>130</v>
      </c>
      <c r="G319" s="6"/>
    </row>
    <row r="320" ht="15.75" customHeight="1">
      <c r="A320" s="20">
        <v>45976.0</v>
      </c>
      <c r="B320" s="6">
        <f>'JAN25'!$F320+'JAN25'!$G320</f>
        <v>125</v>
      </c>
      <c r="C320" s="6">
        <v>150.0</v>
      </c>
      <c r="D320" s="6">
        <f>D319+'JAN25'!$B320</f>
        <v>1337</v>
      </c>
      <c r="E320" s="6">
        <f>E319+'JAN25'!$C320</f>
        <v>2250</v>
      </c>
      <c r="F320" s="6">
        <f>15+40+50+20</f>
        <v>125</v>
      </c>
      <c r="G320" s="6"/>
    </row>
    <row r="321" ht="15.75" customHeight="1">
      <c r="A321" s="20">
        <v>45977.0</v>
      </c>
      <c r="B321" s="6">
        <f>'JAN25'!$F321+'JAN25'!$G321</f>
        <v>160</v>
      </c>
      <c r="C321" s="6">
        <v>150.0</v>
      </c>
      <c r="D321" s="6">
        <f>D320+'JAN25'!$B321</f>
        <v>1497</v>
      </c>
      <c r="E321" s="6">
        <f>E320+'JAN25'!$C321</f>
        <v>2400</v>
      </c>
      <c r="F321" s="6">
        <f>30+30+100</f>
        <v>160</v>
      </c>
      <c r="G321" s="6"/>
    </row>
    <row r="322" ht="15.75" customHeight="1">
      <c r="A322" s="20">
        <v>45978.0</v>
      </c>
      <c r="B322" s="6">
        <f>'JAN25'!$F322+'JAN25'!$G322</f>
        <v>145</v>
      </c>
      <c r="C322" s="6">
        <v>150.0</v>
      </c>
      <c r="D322" s="6">
        <f>D321+'JAN25'!$B322</f>
        <v>1642</v>
      </c>
      <c r="E322" s="6">
        <f>E321+'JAN25'!$C322</f>
        <v>2550</v>
      </c>
      <c r="F322" s="6">
        <f>100+45</f>
        <v>145</v>
      </c>
      <c r="G322" s="6"/>
    </row>
    <row r="323" ht="15.75" customHeight="1">
      <c r="A323" s="20">
        <v>45979.0</v>
      </c>
      <c r="B323" s="6">
        <f>'JAN25'!$F323+'JAN25'!$G323</f>
        <v>110</v>
      </c>
      <c r="C323" s="6">
        <v>150.0</v>
      </c>
      <c r="D323" s="6">
        <f>D322+'JAN25'!$B323</f>
        <v>1752</v>
      </c>
      <c r="E323" s="6">
        <f>E322+'JAN25'!$C323</f>
        <v>2700</v>
      </c>
      <c r="F323" s="6">
        <f>50+60</f>
        <v>110</v>
      </c>
      <c r="G323" s="6"/>
    </row>
    <row r="324" ht="15.75" customHeight="1">
      <c r="A324" s="20">
        <v>45980.0</v>
      </c>
      <c r="B324" s="6">
        <f>'JAN25'!$F324+'JAN25'!$G324</f>
        <v>0</v>
      </c>
      <c r="C324" s="6">
        <v>150.0</v>
      </c>
      <c r="D324" s="6">
        <f>D323+'JAN25'!$B324</f>
        <v>1752</v>
      </c>
      <c r="E324" s="6">
        <f>E323+'JAN25'!$C324</f>
        <v>2850</v>
      </c>
      <c r="F324" s="6"/>
      <c r="G324" s="6"/>
    </row>
    <row r="325" ht="15.75" customHeight="1">
      <c r="A325" s="20">
        <v>45981.0</v>
      </c>
      <c r="B325" s="6">
        <f>'JAN25'!$F325+'JAN25'!$G325</f>
        <v>110</v>
      </c>
      <c r="C325" s="6">
        <v>150.0</v>
      </c>
      <c r="D325" s="6">
        <f>D324+'JAN25'!$B325</f>
        <v>1862</v>
      </c>
      <c r="E325" s="6">
        <f>E324+'JAN25'!$C325</f>
        <v>3000</v>
      </c>
      <c r="F325" s="6">
        <f>110</f>
        <v>110</v>
      </c>
      <c r="G325" s="6"/>
    </row>
    <row r="326" ht="15.75" customHeight="1">
      <c r="A326" s="20">
        <v>45982.0</v>
      </c>
      <c r="B326" s="6">
        <f>'JAN25'!$F326+'JAN25'!$G326</f>
        <v>70</v>
      </c>
      <c r="C326" s="6">
        <v>150.0</v>
      </c>
      <c r="D326" s="6">
        <f>D325+'JAN25'!$B326</f>
        <v>1932</v>
      </c>
      <c r="E326" s="6">
        <f>E325+'JAN25'!$C326</f>
        <v>3150</v>
      </c>
      <c r="F326" s="6">
        <v>70.0</v>
      </c>
      <c r="G326" s="6"/>
    </row>
    <row r="327" ht="15.75" customHeight="1">
      <c r="A327" s="20">
        <v>45983.0</v>
      </c>
      <c r="B327" s="6">
        <f>'JAN25'!$F327+'JAN25'!$G327</f>
        <v>209</v>
      </c>
      <c r="C327" s="6">
        <v>150.0</v>
      </c>
      <c r="D327" s="6">
        <f>D326+'JAN25'!$B327</f>
        <v>2141</v>
      </c>
      <c r="E327" s="6">
        <f>E326+'JAN25'!$C327</f>
        <v>3300</v>
      </c>
      <c r="F327" s="6">
        <f>15+14+60</f>
        <v>89</v>
      </c>
      <c r="G327" s="6">
        <v>120.0</v>
      </c>
    </row>
    <row r="328" ht="15.75" customHeight="1">
      <c r="A328" s="20">
        <v>45984.0</v>
      </c>
      <c r="B328" s="6">
        <f>'JAN25'!$F328+'JAN25'!$G328</f>
        <v>265</v>
      </c>
      <c r="C328" s="6">
        <v>150.0</v>
      </c>
      <c r="D328" s="6">
        <f>D327+'JAN25'!$B328</f>
        <v>2406</v>
      </c>
      <c r="E328" s="6">
        <f>E327+'JAN25'!$C328</f>
        <v>3450</v>
      </c>
      <c r="F328" s="6">
        <f>30+60+175</f>
        <v>265</v>
      </c>
      <c r="G328" s="6"/>
    </row>
    <row r="329" ht="15.75" customHeight="1">
      <c r="A329" s="20">
        <v>45985.0</v>
      </c>
      <c r="B329" s="6">
        <f>'JAN25'!$F329+'JAN25'!$G329</f>
        <v>80</v>
      </c>
      <c r="C329" s="6">
        <v>150.0</v>
      </c>
      <c r="D329" s="6">
        <f>D328+'JAN25'!$B329</f>
        <v>2486</v>
      </c>
      <c r="E329" s="6">
        <f>E328+'JAN25'!$C329</f>
        <v>3600</v>
      </c>
      <c r="F329" s="6">
        <f>80</f>
        <v>80</v>
      </c>
      <c r="G329" s="6"/>
    </row>
    <row r="330" ht="15.75" customHeight="1">
      <c r="A330" s="20">
        <v>45986.0</v>
      </c>
      <c r="B330" s="6">
        <f>'JAN25'!$F330+'JAN25'!$G330</f>
        <v>164</v>
      </c>
      <c r="C330" s="6">
        <v>150.0</v>
      </c>
      <c r="D330" s="6">
        <f>D329+'JAN25'!$B330</f>
        <v>2650</v>
      </c>
      <c r="E330" s="6">
        <f>E329+'JAN25'!$C330</f>
        <v>3750</v>
      </c>
      <c r="F330" s="6">
        <f>25+30+50</f>
        <v>105</v>
      </c>
      <c r="G330" s="6">
        <v>59.0</v>
      </c>
    </row>
    <row r="331" ht="15.75" customHeight="1">
      <c r="A331" s="20">
        <v>45987.0</v>
      </c>
      <c r="B331" s="6">
        <f>'JAN25'!$F331+'JAN25'!$G331</f>
        <v>30</v>
      </c>
      <c r="C331" s="6">
        <v>150.0</v>
      </c>
      <c r="D331" s="6">
        <f>D330+'JAN25'!$B331</f>
        <v>2680</v>
      </c>
      <c r="E331" s="6">
        <f>E330+'JAN25'!$C331</f>
        <v>3900</v>
      </c>
      <c r="F331" s="6">
        <v>30.0</v>
      </c>
      <c r="G331" s="6"/>
    </row>
    <row r="332" ht="15.75" customHeight="1">
      <c r="A332" s="20">
        <v>45988.0</v>
      </c>
      <c r="B332" s="6">
        <f>'JAN25'!$F332+'JAN25'!$G332</f>
        <v>30</v>
      </c>
      <c r="C332" s="6">
        <v>150.0</v>
      </c>
      <c r="D332" s="6">
        <f>D331+'JAN25'!$B332</f>
        <v>2710</v>
      </c>
      <c r="E332" s="6">
        <f>E331+'JAN25'!$C332</f>
        <v>4050</v>
      </c>
      <c r="F332" s="6">
        <v>30.0</v>
      </c>
      <c r="G332" s="6"/>
    </row>
    <row r="333" ht="15.75" customHeight="1">
      <c r="A333" s="20">
        <v>45989.0</v>
      </c>
      <c r="B333" s="6">
        <f>'JAN25'!$F333+'JAN25'!$G333</f>
        <v>200</v>
      </c>
      <c r="C333" s="6">
        <v>150.0</v>
      </c>
      <c r="D333" s="6">
        <f>D332+'JAN25'!$B333</f>
        <v>2910</v>
      </c>
      <c r="E333" s="6">
        <f>E332+'JAN25'!$C333</f>
        <v>4200</v>
      </c>
      <c r="F333" s="6">
        <v>200.0</v>
      </c>
      <c r="G333" s="6"/>
    </row>
    <row r="334" ht="15.75" customHeight="1">
      <c r="A334" s="20">
        <v>45990.0</v>
      </c>
      <c r="B334" s="6">
        <f>'JAN25'!$F334+'JAN25'!$G334</f>
        <v>30</v>
      </c>
      <c r="C334" s="6">
        <v>150.0</v>
      </c>
      <c r="D334" s="6">
        <f>D333+'JAN25'!$B334</f>
        <v>2940</v>
      </c>
      <c r="E334" s="6">
        <f>E333+'JAN25'!$C334</f>
        <v>4350</v>
      </c>
      <c r="F334" s="6">
        <v>30.0</v>
      </c>
      <c r="G334" s="6"/>
    </row>
    <row r="335" ht="15.75" customHeight="1">
      <c r="A335" s="20">
        <v>45991.0</v>
      </c>
      <c r="B335" s="6">
        <f>'JAN25'!$F335+'JAN25'!$G335</f>
        <v>0</v>
      </c>
      <c r="C335" s="6">
        <v>150.0</v>
      </c>
      <c r="D335" s="6">
        <f>D334+'JAN25'!$B335</f>
        <v>2940</v>
      </c>
      <c r="E335" s="6">
        <f>E334+'JAN25'!$C335</f>
        <v>4500</v>
      </c>
      <c r="F335" s="6"/>
      <c r="G335" s="6"/>
    </row>
    <row r="336" ht="15.75" customHeight="1">
      <c r="A336" s="4">
        <v>45992.0</v>
      </c>
      <c r="B336" s="6">
        <f>'JAN25'!$F336+'JAN25'!$G336</f>
        <v>230</v>
      </c>
      <c r="C336" s="6">
        <v>150.0</v>
      </c>
      <c r="D336" s="6">
        <f>'JAN25'!$B336</f>
        <v>230</v>
      </c>
      <c r="E336" s="6">
        <f>'JAN25'!$C336</f>
        <v>150</v>
      </c>
      <c r="F336" s="6">
        <f>50+180</f>
        <v>230</v>
      </c>
      <c r="G336" s="6"/>
      <c r="I336" s="7" t="s">
        <v>10</v>
      </c>
      <c r="J336" s="21">
        <v>7000.0</v>
      </c>
      <c r="L336" s="22" t="s">
        <v>51</v>
      </c>
      <c r="M336" s="7">
        <f>106297+10000</f>
        <v>116297</v>
      </c>
    </row>
    <row r="337" ht="15.75" customHeight="1">
      <c r="A337" s="4">
        <v>45993.0</v>
      </c>
      <c r="B337" s="6">
        <f>'JAN25'!$F337+'JAN25'!$G337</f>
        <v>140</v>
      </c>
      <c r="C337" s="6">
        <v>150.0</v>
      </c>
      <c r="D337" s="6">
        <f>'JAN25'!$B337+B336</f>
        <v>370</v>
      </c>
      <c r="E337" s="6">
        <f t="shared" ref="E337:E366" si="4">E336+C337</f>
        <v>300</v>
      </c>
      <c r="F337" s="6">
        <f>140</f>
        <v>140</v>
      </c>
      <c r="G337" s="6"/>
      <c r="I337" s="7" t="s">
        <v>8</v>
      </c>
      <c r="J337" s="23">
        <v>8000.0</v>
      </c>
      <c r="L337" s="7" t="s">
        <v>52</v>
      </c>
      <c r="M337" s="7">
        <v>20000.0</v>
      </c>
    </row>
    <row r="338" ht="15.75" customHeight="1">
      <c r="A338" s="4">
        <v>45994.0</v>
      </c>
      <c r="B338" s="6">
        <f>'JAN25'!$F338+'JAN25'!$G338</f>
        <v>0</v>
      </c>
      <c r="C338" s="6">
        <v>150.0</v>
      </c>
      <c r="D338" s="6">
        <f>D337+'JAN25'!$B338</f>
        <v>370</v>
      </c>
      <c r="E338" s="6">
        <f t="shared" si="4"/>
        <v>450</v>
      </c>
      <c r="F338" s="6"/>
      <c r="G338" s="6"/>
      <c r="I338" s="7" t="s">
        <v>7</v>
      </c>
      <c r="J338" s="23">
        <v>1000.0</v>
      </c>
      <c r="L338" s="9" t="s">
        <v>48</v>
      </c>
      <c r="M338" s="7">
        <f>SUM(J336:J345)</f>
        <v>29073</v>
      </c>
    </row>
    <row r="339" ht="15.75" customHeight="1">
      <c r="A339" s="4">
        <v>45995.0</v>
      </c>
      <c r="B339" s="6">
        <f>'JAN25'!$F339+'JAN25'!$G339</f>
        <v>70</v>
      </c>
      <c r="C339" s="6">
        <v>150.0</v>
      </c>
      <c r="D339" s="6">
        <f>D338+'JAN25'!$B339</f>
        <v>440</v>
      </c>
      <c r="E339" s="6">
        <f t="shared" si="4"/>
        <v>600</v>
      </c>
      <c r="F339" s="6">
        <v>70.0</v>
      </c>
      <c r="G339" s="6"/>
      <c r="I339" s="7" t="s">
        <v>53</v>
      </c>
      <c r="J339" s="23">
        <v>500.0</v>
      </c>
      <c r="M339" s="7">
        <f>M336-M337-M338</f>
        <v>67224</v>
      </c>
    </row>
    <row r="340" ht="15.75" customHeight="1">
      <c r="A340" s="4">
        <v>45996.0</v>
      </c>
      <c r="B340" s="6">
        <f>'JAN25'!$F340+'JAN25'!$G340</f>
        <v>0</v>
      </c>
      <c r="C340" s="6">
        <v>150.0</v>
      </c>
      <c r="D340" s="6">
        <f>D339+'JAN25'!$B340</f>
        <v>440</v>
      </c>
      <c r="E340" s="6">
        <f t="shared" si="4"/>
        <v>750</v>
      </c>
      <c r="F340" s="6"/>
      <c r="G340" s="6"/>
      <c r="I340" s="7" t="s">
        <v>54</v>
      </c>
      <c r="J340" s="24">
        <v>1248.0</v>
      </c>
      <c r="L340" s="7" t="s">
        <v>50</v>
      </c>
      <c r="M340" s="9">
        <v>65744.0</v>
      </c>
    </row>
    <row r="341" ht="15.75" customHeight="1">
      <c r="A341" s="4">
        <v>45997.0</v>
      </c>
      <c r="B341" s="6">
        <f>'JAN25'!$F341+'JAN25'!$G341</f>
        <v>90</v>
      </c>
      <c r="C341" s="6">
        <v>150.0</v>
      </c>
      <c r="D341" s="6">
        <f>D340+'JAN25'!$B341</f>
        <v>530</v>
      </c>
      <c r="E341" s="6">
        <f t="shared" si="4"/>
        <v>900</v>
      </c>
      <c r="F341" s="6"/>
      <c r="G341" s="6">
        <f>40+50</f>
        <v>90</v>
      </c>
      <c r="I341" s="7" t="s">
        <v>55</v>
      </c>
      <c r="J341" s="21">
        <v>1498.0</v>
      </c>
    </row>
    <row r="342" ht="15.75" customHeight="1">
      <c r="A342" s="4">
        <v>45998.0</v>
      </c>
      <c r="B342" s="6">
        <f>'JAN25'!$F342+'JAN25'!$G342</f>
        <v>0</v>
      </c>
      <c r="C342" s="6">
        <v>150.0</v>
      </c>
      <c r="D342" s="6">
        <f>D341+'JAN25'!$B342</f>
        <v>530</v>
      </c>
      <c r="E342" s="6">
        <f t="shared" si="4"/>
        <v>1050</v>
      </c>
      <c r="F342" s="6"/>
      <c r="G342" s="6"/>
      <c r="I342" s="3" t="s">
        <v>17</v>
      </c>
      <c r="J342" s="23">
        <v>2500.0</v>
      </c>
    </row>
    <row r="343" ht="15.75" customHeight="1">
      <c r="A343" s="4">
        <v>45999.0</v>
      </c>
      <c r="B343" s="6">
        <f>'JAN25'!$F343+'JAN25'!$G343</f>
        <v>60</v>
      </c>
      <c r="C343" s="6">
        <v>150.0</v>
      </c>
      <c r="D343" s="6">
        <f>D342+'JAN25'!$B343</f>
        <v>590</v>
      </c>
      <c r="E343" s="6">
        <f t="shared" si="4"/>
        <v>1200</v>
      </c>
      <c r="F343" s="6">
        <v>60.0</v>
      </c>
      <c r="G343" s="6"/>
      <c r="I343" s="3" t="s">
        <v>56</v>
      </c>
      <c r="J343" s="7">
        <f>1316+1420</f>
        <v>2736</v>
      </c>
    </row>
    <row r="344" ht="15.75" customHeight="1">
      <c r="A344" s="4">
        <v>46000.0</v>
      </c>
      <c r="B344" s="6">
        <f>'JAN25'!$F344+'JAN25'!$G344</f>
        <v>0</v>
      </c>
      <c r="C344" s="6">
        <v>150.0</v>
      </c>
      <c r="D344" s="6">
        <f>D343+'JAN25'!$B344</f>
        <v>590</v>
      </c>
      <c r="E344" s="6">
        <f t="shared" si="4"/>
        <v>1350</v>
      </c>
      <c r="F344" s="6"/>
      <c r="G344" s="6"/>
      <c r="I344" s="3" t="s">
        <v>11</v>
      </c>
      <c r="J344" s="21">
        <f>D366</f>
        <v>4271</v>
      </c>
      <c r="L344" s="9" t="s">
        <v>57</v>
      </c>
      <c r="M344" s="9">
        <v>12000.0</v>
      </c>
      <c r="N344" s="25">
        <f t="shared" ref="N344:N348" si="5">M344/$L$348</f>
        <v>0.3703703704</v>
      </c>
    </row>
    <row r="345" ht="15.75" customHeight="1">
      <c r="A345" s="4">
        <v>46001.0</v>
      </c>
      <c r="B345" s="6">
        <f>'JAN25'!$F345+'JAN25'!$G345</f>
        <v>198</v>
      </c>
      <c r="C345" s="6">
        <v>150.0</v>
      </c>
      <c r="D345" s="6">
        <f>D344+'JAN25'!$B345</f>
        <v>788</v>
      </c>
      <c r="E345" s="6">
        <f t="shared" si="4"/>
        <v>1500</v>
      </c>
      <c r="F345" s="6">
        <f>48+150</f>
        <v>198</v>
      </c>
      <c r="G345" s="6"/>
      <c r="I345" s="3" t="s">
        <v>58</v>
      </c>
      <c r="J345" s="21">
        <v>320.0</v>
      </c>
      <c r="L345" s="9" t="s">
        <v>54</v>
      </c>
      <c r="M345" s="9">
        <v>1248.0</v>
      </c>
      <c r="N345" s="25">
        <f t="shared" si="5"/>
        <v>0.03851851852</v>
      </c>
    </row>
    <row r="346" ht="15.75" customHeight="1">
      <c r="A346" s="4">
        <v>46002.0</v>
      </c>
      <c r="B346" s="6">
        <f>'JAN25'!$F346+'JAN25'!$G346</f>
        <v>74</v>
      </c>
      <c r="C346" s="6">
        <v>150.0</v>
      </c>
      <c r="D346" s="6">
        <f>D345+'JAN25'!$B346</f>
        <v>862</v>
      </c>
      <c r="E346" s="6">
        <f t="shared" si="4"/>
        <v>1650</v>
      </c>
      <c r="F346" s="6">
        <v>74.0</v>
      </c>
      <c r="G346" s="6"/>
      <c r="L346" s="9" t="s">
        <v>59</v>
      </c>
      <c r="M346" s="9">
        <v>13089.0</v>
      </c>
      <c r="N346" s="25">
        <f t="shared" si="5"/>
        <v>0.4039814815</v>
      </c>
    </row>
    <row r="347" ht="15.75" customHeight="1">
      <c r="A347" s="4">
        <v>46003.0</v>
      </c>
      <c r="B347" s="6">
        <f>'JAN25'!$F347+'JAN25'!$G347</f>
        <v>240</v>
      </c>
      <c r="C347" s="6">
        <v>150.0</v>
      </c>
      <c r="D347" s="6">
        <f>D346+'JAN25'!$B347</f>
        <v>1102</v>
      </c>
      <c r="E347" s="6">
        <f t="shared" si="4"/>
        <v>1800</v>
      </c>
      <c r="F347" s="6">
        <f>70+170</f>
        <v>240</v>
      </c>
      <c r="G347" s="6"/>
      <c r="L347" s="9" t="s">
        <v>56</v>
      </c>
      <c r="M347" s="9">
        <v>2736.0</v>
      </c>
      <c r="N347" s="25">
        <f t="shared" si="5"/>
        <v>0.08444444444</v>
      </c>
    </row>
    <row r="348" ht="15.75" customHeight="1">
      <c r="A348" s="4">
        <v>46004.0</v>
      </c>
      <c r="B348" s="6">
        <f>'JAN25'!$F348+'JAN25'!$G348</f>
        <v>403</v>
      </c>
      <c r="C348" s="6">
        <v>150.0</v>
      </c>
      <c r="D348" s="6">
        <f>D347+'JAN25'!$B348</f>
        <v>1505</v>
      </c>
      <c r="E348" s="6">
        <f t="shared" si="4"/>
        <v>1950</v>
      </c>
      <c r="F348" s="6">
        <f>79+14+30</f>
        <v>123</v>
      </c>
      <c r="G348" s="6">
        <f>280</f>
        <v>280</v>
      </c>
      <c r="L348" s="9">
        <v>32400.0</v>
      </c>
      <c r="N348" s="7">
        <f t="shared" si="5"/>
        <v>0</v>
      </c>
    </row>
    <row r="349" ht="15.75" customHeight="1">
      <c r="A349" s="4">
        <v>46005.0</v>
      </c>
      <c r="B349" s="6">
        <f>'JAN25'!$F349+'JAN25'!$G349</f>
        <v>30</v>
      </c>
      <c r="C349" s="6">
        <v>150.0</v>
      </c>
      <c r="D349" s="6">
        <f>D348+'JAN25'!$B349</f>
        <v>1535</v>
      </c>
      <c r="E349" s="6">
        <f t="shared" si="4"/>
        <v>2100</v>
      </c>
      <c r="F349" s="6">
        <f>30</f>
        <v>30</v>
      </c>
      <c r="G349" s="6"/>
    </row>
    <row r="350" ht="15.75" customHeight="1">
      <c r="A350" s="4">
        <v>46006.0</v>
      </c>
      <c r="B350" s="6">
        <f>'JAN25'!$F350+'JAN25'!$G350</f>
        <v>105</v>
      </c>
      <c r="C350" s="6">
        <v>150.0</v>
      </c>
      <c r="D350" s="6">
        <f>D349+'JAN25'!$B350</f>
        <v>1640</v>
      </c>
      <c r="E350" s="6">
        <f t="shared" si="4"/>
        <v>2250</v>
      </c>
      <c r="F350" s="6">
        <f>85+20</f>
        <v>105</v>
      </c>
      <c r="G350" s="6"/>
    </row>
    <row r="351" ht="15.75" customHeight="1">
      <c r="A351" s="4">
        <v>46007.0</v>
      </c>
      <c r="B351" s="6">
        <f>'JAN25'!$F351+'JAN25'!$G351</f>
        <v>225</v>
      </c>
      <c r="C351" s="6">
        <v>150.0</v>
      </c>
      <c r="D351" s="6">
        <f>D350+'JAN25'!$B351</f>
        <v>1865</v>
      </c>
      <c r="E351" s="6">
        <f t="shared" si="4"/>
        <v>2400</v>
      </c>
      <c r="F351" s="6">
        <f>225</f>
        <v>225</v>
      </c>
      <c r="G351" s="6"/>
    </row>
    <row r="352" ht="15.75" customHeight="1">
      <c r="A352" s="4">
        <v>46008.0</v>
      </c>
      <c r="B352" s="6">
        <f>'JAN25'!$F352+'JAN25'!$G352</f>
        <v>169</v>
      </c>
      <c r="C352" s="6">
        <v>150.0</v>
      </c>
      <c r="D352" s="6">
        <f>D351+'JAN25'!$B352</f>
        <v>2034</v>
      </c>
      <c r="E352" s="6">
        <f t="shared" si="4"/>
        <v>2550</v>
      </c>
      <c r="F352" s="6">
        <v>70.0</v>
      </c>
      <c r="G352" s="6">
        <v>99.0</v>
      </c>
    </row>
    <row r="353" ht="15.75" customHeight="1">
      <c r="A353" s="4">
        <v>46009.0</v>
      </c>
      <c r="B353" s="6">
        <f>'JAN25'!$F353+'JAN25'!$G353</f>
        <v>0</v>
      </c>
      <c r="C353" s="6">
        <v>150.0</v>
      </c>
      <c r="D353" s="6">
        <f>D352+'JAN25'!$B353</f>
        <v>2034</v>
      </c>
      <c r="E353" s="6">
        <f t="shared" si="4"/>
        <v>2700</v>
      </c>
      <c r="F353" s="6"/>
      <c r="G353" s="6"/>
    </row>
    <row r="354" ht="15.75" customHeight="1">
      <c r="A354" s="4">
        <v>46010.0</v>
      </c>
      <c r="B354" s="6">
        <f>'JAN25'!$F354+'JAN25'!$G354</f>
        <v>400</v>
      </c>
      <c r="C354" s="6">
        <v>150.0</v>
      </c>
      <c r="D354" s="6">
        <f>D353+'JAN25'!$B354</f>
        <v>2434</v>
      </c>
      <c r="E354" s="6">
        <f t="shared" si="4"/>
        <v>2850</v>
      </c>
      <c r="F354" s="6">
        <v>400.0</v>
      </c>
      <c r="G354" s="6"/>
    </row>
    <row r="355" ht="15.75" customHeight="1">
      <c r="A355" s="4">
        <v>46011.0</v>
      </c>
      <c r="B355" s="6">
        <f>'JAN25'!$F355+'JAN25'!$G355</f>
        <v>431</v>
      </c>
      <c r="C355" s="6">
        <v>150.0</v>
      </c>
      <c r="D355" s="6">
        <f>D354+'JAN25'!$B355</f>
        <v>2865</v>
      </c>
      <c r="E355" s="6">
        <f t="shared" si="4"/>
        <v>3000</v>
      </c>
      <c r="F355" s="6">
        <f>40+70+44+157</f>
        <v>311</v>
      </c>
      <c r="G355" s="6">
        <f>30+40+50</f>
        <v>120</v>
      </c>
    </row>
    <row r="356" ht="15.75" customHeight="1">
      <c r="A356" s="4">
        <v>46012.0</v>
      </c>
      <c r="B356" s="6">
        <f>'JAN25'!$F356+'JAN25'!$G356</f>
        <v>180</v>
      </c>
      <c r="C356" s="6">
        <v>150.0</v>
      </c>
      <c r="D356" s="6">
        <f>D355+'JAN25'!$B356</f>
        <v>3045</v>
      </c>
      <c r="E356" s="6">
        <f t="shared" si="4"/>
        <v>3150</v>
      </c>
      <c r="F356" s="6"/>
      <c r="G356" s="26">
        <v>180.0</v>
      </c>
    </row>
    <row r="357" ht="15.75" customHeight="1">
      <c r="A357" s="4">
        <v>46013.0</v>
      </c>
      <c r="B357" s="6">
        <f>'JAN25'!$F357+'JAN25'!$G357</f>
        <v>60</v>
      </c>
      <c r="C357" s="6">
        <v>150.0</v>
      </c>
      <c r="D357" s="6">
        <f>D356+'JAN25'!$B357</f>
        <v>3105</v>
      </c>
      <c r="E357" s="6">
        <f t="shared" si="4"/>
        <v>3300</v>
      </c>
      <c r="F357" s="26">
        <v>60.0</v>
      </c>
      <c r="G357" s="6"/>
    </row>
    <row r="358" ht="15.75" customHeight="1">
      <c r="A358" s="4">
        <v>46014.0</v>
      </c>
      <c r="B358" s="6">
        <f>'JAN25'!$F358+'JAN25'!$G358</f>
        <v>50</v>
      </c>
      <c r="C358" s="6">
        <v>150.0</v>
      </c>
      <c r="D358" s="6">
        <f>D357+'JAN25'!$B358</f>
        <v>3155</v>
      </c>
      <c r="E358" s="6">
        <f t="shared" si="4"/>
        <v>3450</v>
      </c>
      <c r="F358" s="26">
        <v>50.0</v>
      </c>
      <c r="G358" s="6"/>
    </row>
    <row r="359" ht="15.75" customHeight="1">
      <c r="A359" s="4">
        <v>46015.0</v>
      </c>
      <c r="B359" s="6">
        <f>'JAN25'!$F359+'JAN25'!$G359</f>
        <v>30</v>
      </c>
      <c r="C359" s="6">
        <v>150.0</v>
      </c>
      <c r="D359" s="6">
        <f>D358+'JAN25'!$B359</f>
        <v>3185</v>
      </c>
      <c r="E359" s="6">
        <f t="shared" si="4"/>
        <v>3600</v>
      </c>
      <c r="F359" s="26">
        <v>30.0</v>
      </c>
      <c r="G359" s="6"/>
    </row>
    <row r="360" ht="15.75" customHeight="1">
      <c r="A360" s="4">
        <v>46016.0</v>
      </c>
      <c r="B360" s="6">
        <f>'JAN25'!$F360+'JAN25'!$G360</f>
        <v>315</v>
      </c>
      <c r="C360" s="6">
        <v>150.0</v>
      </c>
      <c r="D360" s="6">
        <f>D359+'JAN25'!$B360</f>
        <v>3500</v>
      </c>
      <c r="E360" s="6">
        <f t="shared" si="4"/>
        <v>3750</v>
      </c>
      <c r="F360" s="26">
        <v>30.0</v>
      </c>
      <c r="G360" s="26">
        <f>206+20+59</f>
        <v>285</v>
      </c>
    </row>
    <row r="361" ht="15.75" customHeight="1">
      <c r="A361" s="4">
        <v>46017.0</v>
      </c>
      <c r="B361" s="6">
        <f>'JAN25'!$F361+'JAN25'!$G361</f>
        <v>76</v>
      </c>
      <c r="C361" s="6">
        <v>150.0</v>
      </c>
      <c r="D361" s="6">
        <f>D360+'JAN25'!$B361</f>
        <v>3576</v>
      </c>
      <c r="E361" s="6">
        <f t="shared" si="4"/>
        <v>3900</v>
      </c>
      <c r="F361" s="26">
        <v>76.0</v>
      </c>
      <c r="G361" s="6"/>
    </row>
    <row r="362" ht="15.75" customHeight="1">
      <c r="A362" s="4">
        <v>46018.0</v>
      </c>
      <c r="B362" s="6">
        <f>'JAN25'!$F362+'JAN25'!$G362</f>
        <v>14</v>
      </c>
      <c r="C362" s="6">
        <v>150.0</v>
      </c>
      <c r="D362" s="6">
        <f>D361+'JAN25'!$B362</f>
        <v>3590</v>
      </c>
      <c r="E362" s="6">
        <f t="shared" si="4"/>
        <v>4050</v>
      </c>
      <c r="F362" s="26">
        <v>14.0</v>
      </c>
      <c r="G362" s="6"/>
    </row>
    <row r="363" ht="15.75" customHeight="1">
      <c r="A363" s="4">
        <v>46019.0</v>
      </c>
      <c r="B363" s="6">
        <f>'JAN25'!$F363+'JAN25'!$G363</f>
        <v>115</v>
      </c>
      <c r="C363" s="6">
        <v>150.0</v>
      </c>
      <c r="D363" s="6">
        <f>D362+'JAN25'!$B363</f>
        <v>3705</v>
      </c>
      <c r="E363" s="6">
        <f t="shared" si="4"/>
        <v>4200</v>
      </c>
      <c r="F363" s="26">
        <v>115.0</v>
      </c>
      <c r="G363" s="6"/>
    </row>
    <row r="364" ht="15.75" customHeight="1">
      <c r="A364" s="4">
        <v>46020.0</v>
      </c>
      <c r="B364" s="6">
        <f>'JAN25'!$F364+'JAN25'!$G364</f>
        <v>130</v>
      </c>
      <c r="C364" s="6">
        <v>150.0</v>
      </c>
      <c r="D364" s="6">
        <f>D363+'JAN25'!$B364</f>
        <v>3835</v>
      </c>
      <c r="E364" s="6">
        <f t="shared" si="4"/>
        <v>4350</v>
      </c>
      <c r="F364" s="26">
        <f>80+50</f>
        <v>130</v>
      </c>
      <c r="G364" s="6"/>
    </row>
    <row r="365" ht="15.75" customHeight="1">
      <c r="A365" s="4">
        <v>46021.0</v>
      </c>
      <c r="B365" s="6">
        <f>'JAN25'!$F365+'JAN25'!$G365</f>
        <v>100</v>
      </c>
      <c r="C365" s="6">
        <v>150.0</v>
      </c>
      <c r="D365" s="6">
        <f>D364+'JAN25'!$B365</f>
        <v>3935</v>
      </c>
      <c r="E365" s="6">
        <f t="shared" si="4"/>
        <v>4500</v>
      </c>
      <c r="F365" s="26">
        <v>100.0</v>
      </c>
      <c r="G365" s="6"/>
    </row>
    <row r="366" ht="15.75" customHeight="1">
      <c r="A366" s="4">
        <v>46022.0</v>
      </c>
      <c r="B366" s="6">
        <f>'JAN25'!$F366+'JAN25'!$G366</f>
        <v>336</v>
      </c>
      <c r="C366" s="6">
        <v>150.0</v>
      </c>
      <c r="D366" s="6">
        <f>D365+'JAN25'!$B366</f>
        <v>4271</v>
      </c>
      <c r="E366" s="6">
        <f t="shared" si="4"/>
        <v>4650</v>
      </c>
      <c r="F366" s="26">
        <v>130.0</v>
      </c>
      <c r="G366" s="26">
        <v>206.0</v>
      </c>
    </row>
    <row r="367" ht="15.75" customHeight="1">
      <c r="A367" s="27">
        <v>46023.0</v>
      </c>
      <c r="B367" s="6">
        <f t="shared" ref="B367:B404" si="6">F367+G367</f>
        <v>24</v>
      </c>
      <c r="C367" s="6">
        <v>150.0</v>
      </c>
      <c r="D367" s="6">
        <f>B367</f>
        <v>24</v>
      </c>
      <c r="E367" s="6">
        <f>'JAN25'!$C367</f>
        <v>150</v>
      </c>
      <c r="F367" s="26">
        <v>24.0</v>
      </c>
      <c r="G367" s="6"/>
      <c r="I367" s="7" t="s">
        <v>10</v>
      </c>
      <c r="J367" s="28">
        <v>7000.0</v>
      </c>
      <c r="L367" s="22" t="s">
        <v>9</v>
      </c>
      <c r="M367" s="9">
        <v>99035.0</v>
      </c>
    </row>
    <row r="368" ht="15.75" customHeight="1">
      <c r="A368" s="27">
        <v>46024.0</v>
      </c>
      <c r="B368" s="6">
        <f t="shared" si="6"/>
        <v>0</v>
      </c>
      <c r="C368" s="6">
        <v>150.0</v>
      </c>
      <c r="D368" s="6">
        <f t="shared" ref="D368:E368" si="7">D367+B368</f>
        <v>24</v>
      </c>
      <c r="E368" s="6">
        <f t="shared" si="7"/>
        <v>300</v>
      </c>
      <c r="F368" s="6"/>
      <c r="G368" s="6"/>
      <c r="I368" s="7" t="s">
        <v>8</v>
      </c>
      <c r="J368" s="29">
        <v>8000.0</v>
      </c>
    </row>
    <row r="369" ht="15.75" customHeight="1">
      <c r="A369" s="27">
        <v>46025.0</v>
      </c>
      <c r="B369" s="6">
        <f t="shared" si="6"/>
        <v>107</v>
      </c>
      <c r="C369" s="6">
        <v>150.0</v>
      </c>
      <c r="D369" s="6">
        <f t="shared" ref="D369:E369" si="8">D368+B369</f>
        <v>131</v>
      </c>
      <c r="E369" s="6">
        <f t="shared" si="8"/>
        <v>450</v>
      </c>
      <c r="F369" s="6">
        <f>30+25+12+40</f>
        <v>107</v>
      </c>
      <c r="G369" s="6"/>
      <c r="I369" s="7" t="s">
        <v>7</v>
      </c>
      <c r="J369" s="29">
        <v>1000.0</v>
      </c>
      <c r="L369" s="9" t="s">
        <v>48</v>
      </c>
      <c r="M369" s="7">
        <f>SUM(J367:J377)</f>
        <v>30119</v>
      </c>
    </row>
    <row r="370" ht="15.75" customHeight="1">
      <c r="A370" s="27">
        <v>46026.0</v>
      </c>
      <c r="B370" s="6">
        <f t="shared" si="6"/>
        <v>160</v>
      </c>
      <c r="C370" s="6">
        <v>150.0</v>
      </c>
      <c r="D370" s="6">
        <f t="shared" ref="D370:E370" si="9">D369+B370</f>
        <v>291</v>
      </c>
      <c r="E370" s="6">
        <f t="shared" si="9"/>
        <v>600</v>
      </c>
      <c r="F370" s="26">
        <v>160.0</v>
      </c>
      <c r="G370" s="6"/>
      <c r="I370" s="7" t="s">
        <v>53</v>
      </c>
      <c r="J370" s="29">
        <v>1604.0</v>
      </c>
      <c r="M370" s="7">
        <f>M367-M369</f>
        <v>68916</v>
      </c>
    </row>
    <row r="371" ht="15.75" customHeight="1">
      <c r="A371" s="27">
        <v>46027.0</v>
      </c>
      <c r="B371" s="6">
        <f t="shared" si="6"/>
        <v>161</v>
      </c>
      <c r="C371" s="6">
        <v>150.0</v>
      </c>
      <c r="D371" s="6">
        <f t="shared" ref="D371:E371" si="10">D370+B371</f>
        <v>452</v>
      </c>
      <c r="E371" s="6">
        <f t="shared" si="10"/>
        <v>750</v>
      </c>
      <c r="F371" s="26">
        <f>110+51</f>
        <v>161</v>
      </c>
      <c r="G371" s="6"/>
      <c r="I371" s="7" t="s">
        <v>54</v>
      </c>
      <c r="J371" s="30">
        <v>1500.0</v>
      </c>
    </row>
    <row r="372" ht="15.75" customHeight="1">
      <c r="A372" s="27">
        <v>46028.0</v>
      </c>
      <c r="B372" s="6">
        <f t="shared" si="6"/>
        <v>70</v>
      </c>
      <c r="C372" s="6">
        <v>150.0</v>
      </c>
      <c r="D372" s="6">
        <f t="shared" ref="D372:E372" si="11">D371+B372</f>
        <v>522</v>
      </c>
      <c r="E372" s="6">
        <f t="shared" si="11"/>
        <v>900</v>
      </c>
      <c r="F372" s="6">
        <f>70</f>
        <v>70</v>
      </c>
      <c r="G372" s="6"/>
      <c r="I372" s="7" t="s">
        <v>55</v>
      </c>
      <c r="J372" s="21">
        <f>790+345</f>
        <v>1135</v>
      </c>
      <c r="L372" s="7" t="s">
        <v>50</v>
      </c>
      <c r="M372" s="9">
        <v>68386.0</v>
      </c>
    </row>
    <row r="373" ht="15.75" customHeight="1">
      <c r="A373" s="27">
        <v>46029.0</v>
      </c>
      <c r="B373" s="6">
        <f t="shared" si="6"/>
        <v>0</v>
      </c>
      <c r="C373" s="6">
        <v>150.0</v>
      </c>
      <c r="D373" s="6">
        <f t="shared" ref="D373:E373" si="12">D372+B373</f>
        <v>522</v>
      </c>
      <c r="E373" s="6">
        <f t="shared" si="12"/>
        <v>1050</v>
      </c>
      <c r="F373" s="6"/>
      <c r="G373" s="6"/>
      <c r="I373" s="3" t="s">
        <v>17</v>
      </c>
      <c r="J373" s="29">
        <v>2500.0</v>
      </c>
    </row>
    <row r="374" ht="15.75" customHeight="1">
      <c r="A374" s="27">
        <v>46030.0</v>
      </c>
      <c r="B374" s="6">
        <f t="shared" si="6"/>
        <v>0</v>
      </c>
      <c r="C374" s="6">
        <v>150.0</v>
      </c>
      <c r="D374" s="6">
        <f t="shared" ref="D374:E374" si="13">D373+B374</f>
        <v>522</v>
      </c>
      <c r="E374" s="6">
        <f t="shared" si="13"/>
        <v>1200</v>
      </c>
      <c r="F374" s="6"/>
      <c r="G374" s="6"/>
      <c r="I374" s="3" t="s">
        <v>11</v>
      </c>
      <c r="J374" s="21">
        <f>D397</f>
        <v>2230</v>
      </c>
    </row>
    <row r="375" ht="15.75" customHeight="1">
      <c r="A375" s="27">
        <v>46031.0</v>
      </c>
      <c r="B375" s="6">
        <f t="shared" si="6"/>
        <v>72</v>
      </c>
      <c r="C375" s="6">
        <v>150.0</v>
      </c>
      <c r="D375" s="6">
        <f t="shared" ref="D375:E375" si="14">D374+B375</f>
        <v>594</v>
      </c>
      <c r="E375" s="6">
        <f t="shared" si="14"/>
        <v>1350</v>
      </c>
      <c r="F375" s="26">
        <v>10.0</v>
      </c>
      <c r="G375" s="26">
        <v>62.0</v>
      </c>
      <c r="I375" s="13" t="s">
        <v>60</v>
      </c>
      <c r="J375" s="9">
        <v>3000.0</v>
      </c>
    </row>
    <row r="376" ht="15.75" customHeight="1">
      <c r="A376" s="27">
        <v>46032.0</v>
      </c>
      <c r="B376" s="6">
        <f t="shared" si="6"/>
        <v>0</v>
      </c>
      <c r="C376" s="6">
        <v>150.0</v>
      </c>
      <c r="D376" s="6">
        <f t="shared" ref="D376:E376" si="15">D375+B376</f>
        <v>594</v>
      </c>
      <c r="E376" s="6">
        <f t="shared" si="15"/>
        <v>1500</v>
      </c>
      <c r="F376" s="6"/>
      <c r="G376" s="6"/>
      <c r="I376" s="9" t="s">
        <v>14</v>
      </c>
      <c r="J376" s="29">
        <v>2000.0</v>
      </c>
      <c r="L376" s="9">
        <v>15104.0</v>
      </c>
      <c r="M376" s="9" t="s">
        <v>57</v>
      </c>
      <c r="N376" s="25">
        <f t="shared" ref="N376:N379" si="17">L376/$J$380</f>
        <v>0.4661728395</v>
      </c>
    </row>
    <row r="377" ht="15.75" customHeight="1">
      <c r="A377" s="27">
        <v>46033.0</v>
      </c>
      <c r="B377" s="6">
        <f t="shared" si="6"/>
        <v>78</v>
      </c>
      <c r="C377" s="6">
        <v>150.0</v>
      </c>
      <c r="D377" s="6">
        <f t="shared" ref="D377:E377" si="16">D376+B377</f>
        <v>672</v>
      </c>
      <c r="E377" s="6">
        <f t="shared" si="16"/>
        <v>1650</v>
      </c>
      <c r="F377" s="6"/>
      <c r="G377" s="26">
        <v>78.0</v>
      </c>
      <c r="I377" s="9" t="s">
        <v>32</v>
      </c>
      <c r="J377" s="28">
        <v>150.0</v>
      </c>
      <c r="L377" s="9">
        <v>10515.0</v>
      </c>
      <c r="M377" s="9" t="s">
        <v>61</v>
      </c>
      <c r="N377" s="25">
        <f t="shared" si="17"/>
        <v>0.324537037</v>
      </c>
    </row>
    <row r="378" ht="15.75" customHeight="1">
      <c r="A378" s="27">
        <v>46034.0</v>
      </c>
      <c r="B378" s="6">
        <f t="shared" si="6"/>
        <v>60</v>
      </c>
      <c r="C378" s="6">
        <v>150.0</v>
      </c>
      <c r="D378" s="6">
        <f t="shared" ref="D378:E378" si="18">D377+B378</f>
        <v>732</v>
      </c>
      <c r="E378" s="6">
        <f t="shared" si="18"/>
        <v>1800</v>
      </c>
      <c r="F378" s="26">
        <v>60.0</v>
      </c>
      <c r="G378" s="6"/>
      <c r="L378" s="9">
        <v>3000.0</v>
      </c>
      <c r="M378" s="9" t="s">
        <v>62</v>
      </c>
      <c r="N378" s="25">
        <f t="shared" si="17"/>
        <v>0.09259259259</v>
      </c>
    </row>
    <row r="379" ht="15.75" customHeight="1">
      <c r="A379" s="27">
        <v>46035.0</v>
      </c>
      <c r="B379" s="6">
        <f t="shared" si="6"/>
        <v>0</v>
      </c>
      <c r="C379" s="6">
        <v>150.0</v>
      </c>
      <c r="D379" s="6">
        <f t="shared" ref="D379:E379" si="19">D378+B379</f>
        <v>732</v>
      </c>
      <c r="E379" s="6">
        <f t="shared" si="19"/>
        <v>1950</v>
      </c>
      <c r="F379" s="6"/>
      <c r="G379" s="6"/>
      <c r="L379" s="9">
        <v>1500.0</v>
      </c>
      <c r="M379" s="9" t="s">
        <v>54</v>
      </c>
      <c r="N379" s="25">
        <f t="shared" si="17"/>
        <v>0.0462962963</v>
      </c>
    </row>
    <row r="380" ht="15.75" customHeight="1">
      <c r="A380" s="27">
        <v>46036.0</v>
      </c>
      <c r="B380" s="6">
        <f t="shared" si="6"/>
        <v>0</v>
      </c>
      <c r="C380" s="6">
        <v>150.0</v>
      </c>
      <c r="D380" s="6">
        <f t="shared" ref="D380:E380" si="20">D379+B380</f>
        <v>732</v>
      </c>
      <c r="E380" s="6">
        <f t="shared" si="20"/>
        <v>2100</v>
      </c>
      <c r="F380" s="6"/>
      <c r="G380" s="6"/>
      <c r="J380" s="9">
        <v>32400.0</v>
      </c>
      <c r="N380" s="25"/>
    </row>
    <row r="381" ht="15.75" customHeight="1">
      <c r="A381" s="27">
        <v>46037.0</v>
      </c>
      <c r="B381" s="6">
        <f t="shared" si="6"/>
        <v>0</v>
      </c>
      <c r="C381" s="6">
        <v>150.0</v>
      </c>
      <c r="D381" s="6">
        <f t="shared" ref="D381:E381" si="21">D380+B381</f>
        <v>732</v>
      </c>
      <c r="E381" s="6">
        <f t="shared" si="21"/>
        <v>2250</v>
      </c>
      <c r="F381" s="6"/>
      <c r="G381" s="6"/>
    </row>
    <row r="382" ht="15.75" customHeight="1">
      <c r="A382" s="27">
        <v>46038.0</v>
      </c>
      <c r="B382" s="6">
        <f t="shared" si="6"/>
        <v>466</v>
      </c>
      <c r="C382" s="6">
        <v>150.0</v>
      </c>
      <c r="D382" s="6">
        <f t="shared" ref="D382:E382" si="22">D381+B382</f>
        <v>1198</v>
      </c>
      <c r="E382" s="6">
        <f t="shared" si="22"/>
        <v>2400</v>
      </c>
      <c r="F382" s="26">
        <v>126.0</v>
      </c>
      <c r="G382" s="26">
        <v>340.0</v>
      </c>
    </row>
    <row r="383" ht="15.75" customHeight="1">
      <c r="A383" s="27">
        <v>46039.0</v>
      </c>
      <c r="B383" s="6">
        <f t="shared" si="6"/>
        <v>0</v>
      </c>
      <c r="C383" s="6">
        <v>150.0</v>
      </c>
      <c r="D383" s="6">
        <f t="shared" ref="D383:E383" si="23">D382+B383</f>
        <v>1198</v>
      </c>
      <c r="E383" s="6">
        <f t="shared" si="23"/>
        <v>2550</v>
      </c>
      <c r="F383" s="6"/>
      <c r="G383" s="6"/>
    </row>
    <row r="384" ht="15.75" customHeight="1">
      <c r="A384" s="27">
        <v>46040.0</v>
      </c>
      <c r="B384" s="6">
        <f t="shared" si="6"/>
        <v>103</v>
      </c>
      <c r="C384" s="6">
        <v>150.0</v>
      </c>
      <c r="D384" s="6">
        <f t="shared" ref="D384:E384" si="24">D383+B384</f>
        <v>1301</v>
      </c>
      <c r="E384" s="6">
        <f t="shared" si="24"/>
        <v>2700</v>
      </c>
      <c r="F384" s="6"/>
      <c r="G384" s="6">
        <f>56+47</f>
        <v>103</v>
      </c>
    </row>
    <row r="385" ht="15.75" customHeight="1">
      <c r="A385" s="27">
        <v>46041.0</v>
      </c>
      <c r="B385" s="6">
        <f t="shared" si="6"/>
        <v>110</v>
      </c>
      <c r="C385" s="6">
        <v>150.0</v>
      </c>
      <c r="D385" s="6">
        <f t="shared" ref="D385:E385" si="25">D384+B385</f>
        <v>1411</v>
      </c>
      <c r="E385" s="6">
        <f t="shared" si="25"/>
        <v>2850</v>
      </c>
      <c r="F385" s="26">
        <v>110.0</v>
      </c>
      <c r="G385" s="6"/>
    </row>
    <row r="386" ht="15.75" customHeight="1">
      <c r="A386" s="27">
        <v>46042.0</v>
      </c>
      <c r="B386" s="6">
        <f t="shared" si="6"/>
        <v>175</v>
      </c>
      <c r="C386" s="6">
        <v>150.0</v>
      </c>
      <c r="D386" s="6">
        <f t="shared" ref="D386:E386" si="26">D385+B386</f>
        <v>1586</v>
      </c>
      <c r="E386" s="6">
        <f t="shared" si="26"/>
        <v>3000</v>
      </c>
      <c r="F386" s="26">
        <v>175.0</v>
      </c>
      <c r="G386" s="6"/>
    </row>
    <row r="387" ht="15.75" customHeight="1">
      <c r="A387" s="27">
        <v>46043.0</v>
      </c>
      <c r="B387" s="6">
        <f t="shared" si="6"/>
        <v>0</v>
      </c>
      <c r="C387" s="6">
        <v>150.0</v>
      </c>
      <c r="D387" s="6">
        <f t="shared" ref="D387:E387" si="27">D386+B387</f>
        <v>1586</v>
      </c>
      <c r="E387" s="6">
        <f t="shared" si="27"/>
        <v>3150</v>
      </c>
      <c r="F387" s="6"/>
      <c r="G387" s="6"/>
    </row>
    <row r="388" ht="15.75" customHeight="1">
      <c r="A388" s="27">
        <v>46044.0</v>
      </c>
      <c r="B388" s="6">
        <f t="shared" si="6"/>
        <v>35</v>
      </c>
      <c r="C388" s="6">
        <v>150.0</v>
      </c>
      <c r="D388" s="6">
        <f t="shared" ref="D388:E388" si="28">D387+B388</f>
        <v>1621</v>
      </c>
      <c r="E388" s="6">
        <f t="shared" si="28"/>
        <v>3300</v>
      </c>
      <c r="F388" s="26">
        <v>35.0</v>
      </c>
      <c r="G388" s="6"/>
    </row>
    <row r="389" ht="15.75" customHeight="1">
      <c r="A389" s="27">
        <v>46045.0</v>
      </c>
      <c r="B389" s="6">
        <f t="shared" si="6"/>
        <v>60</v>
      </c>
      <c r="C389" s="6">
        <v>150.0</v>
      </c>
      <c r="D389" s="6">
        <f t="shared" ref="D389:E389" si="29">D388+B389</f>
        <v>1681</v>
      </c>
      <c r="E389" s="6">
        <f t="shared" si="29"/>
        <v>3450</v>
      </c>
      <c r="F389" s="26">
        <v>60.0</v>
      </c>
      <c r="G389" s="6"/>
    </row>
    <row r="390" ht="15.75" customHeight="1">
      <c r="A390" s="27">
        <v>46046.0</v>
      </c>
      <c r="B390" s="6">
        <f t="shared" si="6"/>
        <v>25</v>
      </c>
      <c r="C390" s="6">
        <v>150.0</v>
      </c>
      <c r="D390" s="6">
        <f t="shared" ref="D390:E390" si="30">D389+B390</f>
        <v>1706</v>
      </c>
      <c r="E390" s="6">
        <f t="shared" si="30"/>
        <v>3600</v>
      </c>
      <c r="F390" s="26">
        <v>25.0</v>
      </c>
      <c r="G390" s="6"/>
    </row>
    <row r="391" ht="15.75" customHeight="1">
      <c r="A391" s="27">
        <v>46047.0</v>
      </c>
      <c r="B391" s="6">
        <f t="shared" si="6"/>
        <v>0</v>
      </c>
      <c r="C391" s="6">
        <v>150.0</v>
      </c>
      <c r="D391" s="6">
        <f t="shared" ref="D391:E391" si="31">D390+B391</f>
        <v>1706</v>
      </c>
      <c r="E391" s="6">
        <f t="shared" si="31"/>
        <v>3750</v>
      </c>
      <c r="F391" s="6"/>
      <c r="G391" s="6"/>
    </row>
    <row r="392" ht="15.75" customHeight="1">
      <c r="A392" s="27">
        <v>46048.0</v>
      </c>
      <c r="B392" s="6">
        <f t="shared" si="6"/>
        <v>60</v>
      </c>
      <c r="C392" s="6">
        <v>150.0</v>
      </c>
      <c r="D392" s="6">
        <f t="shared" ref="D392:E392" si="32">D391+B392</f>
        <v>1766</v>
      </c>
      <c r="E392" s="6">
        <f t="shared" si="32"/>
        <v>3900</v>
      </c>
      <c r="F392" s="26">
        <v>60.0</v>
      </c>
      <c r="G392" s="6"/>
    </row>
    <row r="393" ht="15.75" customHeight="1">
      <c r="A393" s="31">
        <v>46049.0</v>
      </c>
      <c r="B393" s="6">
        <f t="shared" si="6"/>
        <v>221</v>
      </c>
      <c r="C393" s="6">
        <v>150.0</v>
      </c>
      <c r="D393" s="6">
        <f t="shared" ref="D393:E393" si="33">D392+B393</f>
        <v>1987</v>
      </c>
      <c r="E393" s="6">
        <f t="shared" si="33"/>
        <v>4050</v>
      </c>
      <c r="F393" s="9">
        <v>221.0</v>
      </c>
    </row>
    <row r="394" ht="15.75" customHeight="1">
      <c r="A394" s="31">
        <v>46050.0</v>
      </c>
      <c r="B394" s="6">
        <f t="shared" si="6"/>
        <v>70</v>
      </c>
      <c r="C394" s="6">
        <v>150.0</v>
      </c>
      <c r="D394" s="6">
        <f t="shared" ref="D394:E394" si="34">D393+B394</f>
        <v>2057</v>
      </c>
      <c r="E394" s="6">
        <f t="shared" si="34"/>
        <v>4200</v>
      </c>
      <c r="F394" s="9">
        <v>70.0</v>
      </c>
    </row>
    <row r="395" ht="15.75" customHeight="1">
      <c r="A395" s="31">
        <v>46051.0</v>
      </c>
      <c r="B395" s="6">
        <f t="shared" si="6"/>
        <v>54</v>
      </c>
      <c r="C395" s="6">
        <v>150.0</v>
      </c>
      <c r="D395" s="6">
        <f t="shared" ref="D395:E395" si="35">D394+B395</f>
        <v>2111</v>
      </c>
      <c r="E395" s="6">
        <f t="shared" si="35"/>
        <v>4350</v>
      </c>
      <c r="F395" s="7">
        <f>54</f>
        <v>54</v>
      </c>
    </row>
    <row r="396" ht="15.75" customHeight="1">
      <c r="A396" s="31">
        <v>46052.0</v>
      </c>
      <c r="B396" s="6">
        <f t="shared" si="6"/>
        <v>0</v>
      </c>
      <c r="C396" s="6">
        <v>150.0</v>
      </c>
      <c r="D396" s="6">
        <f t="shared" ref="D396:E396" si="36">D395+B396</f>
        <v>2111</v>
      </c>
      <c r="E396" s="6">
        <f t="shared" si="36"/>
        <v>4500</v>
      </c>
    </row>
    <row r="397" ht="15.75" customHeight="1">
      <c r="A397" s="31">
        <v>46053.0</v>
      </c>
      <c r="B397" s="6">
        <f t="shared" si="6"/>
        <v>119</v>
      </c>
      <c r="C397" s="6">
        <v>150.0</v>
      </c>
      <c r="D397" s="6">
        <f t="shared" ref="D397:E397" si="37">D396+B397</f>
        <v>2230</v>
      </c>
      <c r="E397" s="6">
        <f t="shared" si="37"/>
        <v>4650</v>
      </c>
      <c r="G397" s="9">
        <f>50+69</f>
        <v>119</v>
      </c>
    </row>
    <row r="398" ht="15.75" customHeight="1">
      <c r="A398" s="31">
        <v>46054.0</v>
      </c>
      <c r="B398" s="6">
        <f t="shared" si="6"/>
        <v>293</v>
      </c>
      <c r="C398" s="6">
        <v>150.0</v>
      </c>
      <c r="D398" s="7">
        <f t="shared" ref="D398:E398" si="38">B398</f>
        <v>293</v>
      </c>
      <c r="E398" s="7">
        <f t="shared" si="38"/>
        <v>150</v>
      </c>
      <c r="F398" s="9">
        <f>30+263</f>
        <v>293</v>
      </c>
      <c r="I398" s="7" t="s">
        <v>10</v>
      </c>
      <c r="J398" s="9">
        <v>7000.0</v>
      </c>
      <c r="L398" s="22" t="s">
        <v>18</v>
      </c>
      <c r="M398" s="9">
        <v>100711.0</v>
      </c>
    </row>
    <row r="399" ht="15.75" customHeight="1">
      <c r="A399" s="31">
        <v>46055.0</v>
      </c>
      <c r="B399" s="6">
        <f t="shared" si="6"/>
        <v>90</v>
      </c>
      <c r="C399" s="6">
        <v>150.0</v>
      </c>
      <c r="D399" s="7">
        <f t="shared" ref="D399:E399" si="39">D398+B399</f>
        <v>383</v>
      </c>
      <c r="E399" s="7">
        <f t="shared" si="39"/>
        <v>300</v>
      </c>
      <c r="F399" s="9">
        <v>90.0</v>
      </c>
      <c r="I399" s="7" t="s">
        <v>8</v>
      </c>
      <c r="J399" s="9">
        <v>8000.0</v>
      </c>
      <c r="L399" s="9" t="s">
        <v>7</v>
      </c>
      <c r="M399" s="9">
        <v>4880.0</v>
      </c>
    </row>
    <row r="400" ht="15.75" customHeight="1">
      <c r="A400" s="31">
        <v>46056.0</v>
      </c>
      <c r="B400" s="6">
        <f t="shared" si="6"/>
        <v>230</v>
      </c>
      <c r="C400" s="6">
        <v>150.0</v>
      </c>
      <c r="D400" s="7">
        <f t="shared" ref="D400:E400" si="40">D399+B400</f>
        <v>613</v>
      </c>
      <c r="E400" s="7">
        <f t="shared" si="40"/>
        <v>450</v>
      </c>
      <c r="F400" s="9">
        <f>30+200</f>
        <v>230</v>
      </c>
      <c r="I400" s="7" t="s">
        <v>7</v>
      </c>
      <c r="J400" s="9">
        <v>1000.0</v>
      </c>
      <c r="L400" s="9" t="s">
        <v>53</v>
      </c>
      <c r="M400" s="9">
        <v>2275.0</v>
      </c>
    </row>
    <row r="401" ht="15.75" customHeight="1">
      <c r="A401" s="31">
        <v>46057.0</v>
      </c>
      <c r="B401" s="6">
        <f t="shared" si="6"/>
        <v>50</v>
      </c>
      <c r="C401" s="6">
        <v>150.0</v>
      </c>
      <c r="D401" s="7">
        <f t="shared" ref="D401:E401" si="41">D400+B401</f>
        <v>663</v>
      </c>
      <c r="E401" s="7">
        <f t="shared" si="41"/>
        <v>600</v>
      </c>
      <c r="F401" s="9">
        <v>50.0</v>
      </c>
      <c r="I401" s="7" t="s">
        <v>53</v>
      </c>
      <c r="M401" s="7">
        <f>SUM(M398:M400)</f>
        <v>107866</v>
      </c>
    </row>
    <row r="402" ht="15.75" customHeight="1">
      <c r="A402" s="31">
        <v>46058.0</v>
      </c>
      <c r="B402" s="6">
        <f t="shared" si="6"/>
        <v>25</v>
      </c>
      <c r="C402" s="6">
        <v>150.0</v>
      </c>
      <c r="D402" s="7">
        <f t="shared" ref="D402:E402" si="42">D401+B402</f>
        <v>688</v>
      </c>
      <c r="E402" s="7">
        <f t="shared" si="42"/>
        <v>750</v>
      </c>
      <c r="F402" s="9">
        <v>25.0</v>
      </c>
      <c r="I402" s="7" t="s">
        <v>54</v>
      </c>
    </row>
    <row r="403" ht="15.75" customHeight="1">
      <c r="A403" s="31">
        <v>46059.0</v>
      </c>
      <c r="B403" s="6">
        <f t="shared" si="6"/>
        <v>0</v>
      </c>
      <c r="C403" s="6">
        <v>150.0</v>
      </c>
      <c r="D403" s="7">
        <f t="shared" ref="D403:E403" si="43">D402+B403</f>
        <v>688</v>
      </c>
      <c r="E403" s="7">
        <f t="shared" si="43"/>
        <v>900</v>
      </c>
      <c r="I403" s="7" t="s">
        <v>55</v>
      </c>
    </row>
    <row r="404" ht="15.75" customHeight="1">
      <c r="A404" s="31">
        <v>46060.0</v>
      </c>
      <c r="B404" s="6">
        <f t="shared" si="6"/>
        <v>321</v>
      </c>
      <c r="C404" s="6">
        <v>150.0</v>
      </c>
      <c r="D404" s="7">
        <f t="shared" ref="D404:E404" si="44">D403+B404</f>
        <v>1009</v>
      </c>
      <c r="E404" s="7">
        <f t="shared" si="44"/>
        <v>1050</v>
      </c>
      <c r="F404" s="9">
        <f>70+209+42</f>
        <v>321</v>
      </c>
      <c r="I404" s="3" t="s">
        <v>17</v>
      </c>
      <c r="J404" s="9">
        <v>1500.0</v>
      </c>
    </row>
    <row r="405" ht="15.75" customHeight="1">
      <c r="A405" s="31">
        <v>46061.0</v>
      </c>
      <c r="B405" s="6">
        <f t="shared" ref="B405:B425" si="46">F406+G405</f>
        <v>60</v>
      </c>
      <c r="C405" s="6">
        <v>150.0</v>
      </c>
      <c r="D405" s="7">
        <f t="shared" ref="D405:E405" si="45">D404+B405</f>
        <v>1069</v>
      </c>
      <c r="E405" s="7">
        <f t="shared" si="45"/>
        <v>1200</v>
      </c>
      <c r="I405" s="3" t="s">
        <v>56</v>
      </c>
    </row>
    <row r="406" ht="15.75" customHeight="1">
      <c r="A406" s="31">
        <v>46062.0</v>
      </c>
      <c r="B406" s="6">
        <f t="shared" si="46"/>
        <v>140</v>
      </c>
      <c r="C406" s="6">
        <v>150.0</v>
      </c>
      <c r="D406" s="7">
        <f t="shared" ref="D406:E406" si="47">D405+B406</f>
        <v>1209</v>
      </c>
      <c r="E406" s="7">
        <f t="shared" si="47"/>
        <v>1350</v>
      </c>
      <c r="F406" s="9">
        <v>60.0</v>
      </c>
      <c r="I406" s="3" t="s">
        <v>11</v>
      </c>
      <c r="J406" s="7">
        <f>D425</f>
        <v>1451</v>
      </c>
    </row>
    <row r="407" ht="15.75" customHeight="1">
      <c r="A407" s="31">
        <v>46063.0</v>
      </c>
      <c r="B407" s="6">
        <f t="shared" si="46"/>
        <v>0</v>
      </c>
      <c r="C407" s="6">
        <v>150.0</v>
      </c>
      <c r="D407" s="7">
        <f t="shared" ref="D407:E407" si="48">D406+B407</f>
        <v>1209</v>
      </c>
      <c r="E407" s="7">
        <f t="shared" si="48"/>
        <v>1500</v>
      </c>
      <c r="F407" s="7">
        <f>50+90</f>
        <v>140</v>
      </c>
    </row>
    <row r="408" ht="15.75" customHeight="1">
      <c r="A408" s="31">
        <v>46064.0</v>
      </c>
      <c r="B408" s="6">
        <f t="shared" si="46"/>
        <v>42</v>
      </c>
      <c r="C408" s="6">
        <v>150.0</v>
      </c>
      <c r="D408" s="7">
        <f t="shared" ref="D408:E408" si="49">D407+B408</f>
        <v>1251</v>
      </c>
      <c r="E408" s="7">
        <f t="shared" si="49"/>
        <v>1650</v>
      </c>
      <c r="I408" s="9" t="s">
        <v>14</v>
      </c>
      <c r="J408" s="9">
        <f>200+1100</f>
        <v>1300</v>
      </c>
    </row>
    <row r="409" ht="15.75" customHeight="1">
      <c r="A409" s="31">
        <v>46065.0</v>
      </c>
      <c r="B409" s="6">
        <f t="shared" si="46"/>
        <v>200</v>
      </c>
      <c r="C409" s="6">
        <v>150.0</v>
      </c>
      <c r="D409" s="7">
        <f t="shared" ref="D409:E409" si="50">D408+B409</f>
        <v>1451</v>
      </c>
      <c r="E409" s="7">
        <f t="shared" si="50"/>
        <v>1800</v>
      </c>
      <c r="F409" s="9">
        <v>42.0</v>
      </c>
    </row>
    <row r="410" ht="15.75" customHeight="1">
      <c r="A410" s="31">
        <v>46066.0</v>
      </c>
      <c r="B410" s="6">
        <f t="shared" si="46"/>
        <v>0</v>
      </c>
      <c r="C410" s="6">
        <v>150.0</v>
      </c>
      <c r="D410" s="7">
        <f t="shared" ref="D410:E410" si="51">D409+B410</f>
        <v>1451</v>
      </c>
      <c r="E410" s="7">
        <f t="shared" si="51"/>
        <v>1950</v>
      </c>
      <c r="F410" s="9">
        <v>200.0</v>
      </c>
    </row>
    <row r="411" ht="15.75" customHeight="1">
      <c r="A411" s="31">
        <v>46067.0</v>
      </c>
      <c r="B411" s="6">
        <f t="shared" si="46"/>
        <v>0</v>
      </c>
      <c r="C411" s="6">
        <v>150.0</v>
      </c>
      <c r="D411" s="7">
        <f t="shared" ref="D411:E411" si="52">D410+B411</f>
        <v>1451</v>
      </c>
      <c r="E411" s="7">
        <f t="shared" si="52"/>
        <v>2100</v>
      </c>
    </row>
    <row r="412" ht="15.75" customHeight="1">
      <c r="A412" s="31">
        <v>46068.0</v>
      </c>
      <c r="B412" s="6">
        <f t="shared" si="46"/>
        <v>0</v>
      </c>
      <c r="C412" s="6">
        <v>150.0</v>
      </c>
      <c r="D412" s="7">
        <f t="shared" ref="D412:E412" si="53">D411+B412</f>
        <v>1451</v>
      </c>
      <c r="E412" s="7">
        <f t="shared" si="53"/>
        <v>2250</v>
      </c>
    </row>
    <row r="413" ht="15.75" customHeight="1">
      <c r="A413" s="31">
        <v>46069.0</v>
      </c>
      <c r="B413" s="6">
        <f t="shared" si="46"/>
        <v>0</v>
      </c>
      <c r="C413" s="6">
        <v>150.0</v>
      </c>
      <c r="D413" s="7">
        <f t="shared" ref="D413:E413" si="54">D412+B413</f>
        <v>1451</v>
      </c>
      <c r="E413" s="7">
        <f t="shared" si="54"/>
        <v>2400</v>
      </c>
    </row>
    <row r="414" ht="15.75" customHeight="1">
      <c r="A414" s="31">
        <v>46070.0</v>
      </c>
      <c r="B414" s="6">
        <f t="shared" si="46"/>
        <v>0</v>
      </c>
      <c r="C414" s="6">
        <v>150.0</v>
      </c>
      <c r="D414" s="7">
        <f t="shared" ref="D414:E414" si="55">D413+B414</f>
        <v>1451</v>
      </c>
      <c r="E414" s="7">
        <f t="shared" si="55"/>
        <v>2550</v>
      </c>
    </row>
    <row r="415" ht="15.75" customHeight="1">
      <c r="A415" s="31">
        <v>46071.0</v>
      </c>
      <c r="B415" s="6">
        <f t="shared" si="46"/>
        <v>0</v>
      </c>
      <c r="C415" s="6">
        <v>150.0</v>
      </c>
      <c r="D415" s="7">
        <f t="shared" ref="D415:E415" si="56">D414+B415</f>
        <v>1451</v>
      </c>
      <c r="E415" s="7">
        <f t="shared" si="56"/>
        <v>2700</v>
      </c>
    </row>
    <row r="416" ht="15.75" customHeight="1">
      <c r="A416" s="31">
        <v>46072.0</v>
      </c>
      <c r="B416" s="6">
        <f t="shared" si="46"/>
        <v>0</v>
      </c>
      <c r="C416" s="6">
        <v>150.0</v>
      </c>
      <c r="D416" s="7">
        <f t="shared" ref="D416:E416" si="57">D415+B416</f>
        <v>1451</v>
      </c>
      <c r="E416" s="7">
        <f t="shared" si="57"/>
        <v>2850</v>
      </c>
    </row>
    <row r="417" ht="15.75" customHeight="1">
      <c r="A417" s="31">
        <v>46073.0</v>
      </c>
      <c r="B417" s="6">
        <f t="shared" si="46"/>
        <v>0</v>
      </c>
      <c r="C417" s="6">
        <v>150.0</v>
      </c>
      <c r="D417" s="7">
        <f t="shared" ref="D417:E417" si="58">D416+B417</f>
        <v>1451</v>
      </c>
      <c r="E417" s="7">
        <f t="shared" si="58"/>
        <v>3000</v>
      </c>
    </row>
    <row r="418" ht="15.75" customHeight="1">
      <c r="A418" s="31">
        <v>46074.0</v>
      </c>
      <c r="B418" s="6">
        <f t="shared" si="46"/>
        <v>0</v>
      </c>
      <c r="C418" s="6">
        <v>150.0</v>
      </c>
      <c r="D418" s="7">
        <f t="shared" ref="D418:E418" si="59">D417+B418</f>
        <v>1451</v>
      </c>
      <c r="E418" s="7">
        <f t="shared" si="59"/>
        <v>3150</v>
      </c>
    </row>
    <row r="419" ht="15.75" customHeight="1">
      <c r="A419" s="31">
        <v>46075.0</v>
      </c>
      <c r="B419" s="6">
        <f t="shared" si="46"/>
        <v>0</v>
      </c>
      <c r="C419" s="6">
        <v>150.0</v>
      </c>
      <c r="D419" s="7">
        <f t="shared" ref="D419:E419" si="60">D418+B419</f>
        <v>1451</v>
      </c>
      <c r="E419" s="7">
        <f t="shared" si="60"/>
        <v>3300</v>
      </c>
    </row>
    <row r="420" ht="15.75" customHeight="1">
      <c r="A420" s="31">
        <v>46076.0</v>
      </c>
      <c r="B420" s="6">
        <f t="shared" si="46"/>
        <v>0</v>
      </c>
      <c r="C420" s="6">
        <v>150.0</v>
      </c>
      <c r="D420" s="7">
        <f t="shared" ref="D420:E420" si="61">D419+B420</f>
        <v>1451</v>
      </c>
      <c r="E420" s="7">
        <f t="shared" si="61"/>
        <v>3450</v>
      </c>
    </row>
    <row r="421" ht="15.75" customHeight="1">
      <c r="A421" s="31">
        <v>46077.0</v>
      </c>
      <c r="B421" s="6">
        <f t="shared" si="46"/>
        <v>0</v>
      </c>
      <c r="C421" s="6">
        <v>150.0</v>
      </c>
      <c r="D421" s="7">
        <f t="shared" ref="D421:E421" si="62">D420+B421</f>
        <v>1451</v>
      </c>
      <c r="E421" s="7">
        <f t="shared" si="62"/>
        <v>3600</v>
      </c>
    </row>
    <row r="422" ht="15.75" customHeight="1">
      <c r="A422" s="31">
        <v>46078.0</v>
      </c>
      <c r="B422" s="6">
        <f t="shared" si="46"/>
        <v>0</v>
      </c>
      <c r="C422" s="6">
        <v>150.0</v>
      </c>
      <c r="D422" s="7">
        <f t="shared" ref="D422:E422" si="63">D421+B422</f>
        <v>1451</v>
      </c>
      <c r="E422" s="7">
        <f t="shared" si="63"/>
        <v>3750</v>
      </c>
    </row>
    <row r="423" ht="15.75" customHeight="1">
      <c r="A423" s="31">
        <v>46079.0</v>
      </c>
      <c r="B423" s="6">
        <f t="shared" si="46"/>
        <v>0</v>
      </c>
      <c r="C423" s="6">
        <v>150.0</v>
      </c>
      <c r="D423" s="7">
        <f t="shared" ref="D423:E423" si="64">D422+B423</f>
        <v>1451</v>
      </c>
      <c r="E423" s="7">
        <f t="shared" si="64"/>
        <v>3900</v>
      </c>
    </row>
    <row r="424" ht="15.75" customHeight="1">
      <c r="A424" s="31">
        <v>46080.0</v>
      </c>
      <c r="B424" s="6">
        <f t="shared" si="46"/>
        <v>0</v>
      </c>
      <c r="C424" s="6">
        <v>150.0</v>
      </c>
      <c r="D424" s="7">
        <f t="shared" ref="D424:E424" si="65">D423+B424</f>
        <v>1451</v>
      </c>
      <c r="E424" s="7">
        <f t="shared" si="65"/>
        <v>4050</v>
      </c>
    </row>
    <row r="425" ht="15.75" customHeight="1">
      <c r="A425" s="31">
        <v>46081.0</v>
      </c>
      <c r="B425" s="6">
        <f t="shared" si="46"/>
        <v>0</v>
      </c>
      <c r="C425" s="6">
        <v>150.0</v>
      </c>
      <c r="D425" s="7">
        <f t="shared" ref="D425:E425" si="66">D424+B425</f>
        <v>1451</v>
      </c>
      <c r="E425" s="7">
        <f t="shared" si="66"/>
        <v>4200</v>
      </c>
    </row>
    <row r="426" ht="15.75" customHeight="1">
      <c r="A426" s="31"/>
      <c r="B426" s="6"/>
    </row>
    <row r="427" ht="15.75" customHeight="1">
      <c r="A427" s="31"/>
      <c r="B427" s="6"/>
    </row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82 F183">
    <cfRule type="cellIs" dxfId="4" priority="1" operator="greaterThan">
      <formula>$C$2</formula>
    </cfRule>
  </conditionalFormatting>
  <conditionalFormatting sqref="B183:B305">
    <cfRule type="cellIs" dxfId="4" priority="2" operator="greaterThan">
      <formula>150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46.71"/>
    <col customWidth="1" min="3" max="3" width="101.86"/>
    <col customWidth="1" min="4" max="4" width="10.29"/>
    <col customWidth="1" min="5" max="26" width="8.71"/>
  </cols>
  <sheetData>
    <row r="1">
      <c r="A1" s="7" t="s">
        <v>65</v>
      </c>
      <c r="B1" s="7" t="s">
        <v>66</v>
      </c>
    </row>
    <row r="2">
      <c r="A2" s="33">
        <v>45839.0</v>
      </c>
    </row>
    <row r="3">
      <c r="A3" s="33">
        <v>45840.0</v>
      </c>
    </row>
    <row r="4">
      <c r="A4" s="33">
        <v>45841.0</v>
      </c>
    </row>
    <row r="5">
      <c r="A5" s="33">
        <v>45842.0</v>
      </c>
    </row>
    <row r="6">
      <c r="A6" s="33">
        <v>45843.0</v>
      </c>
    </row>
    <row r="7">
      <c r="A7" s="33">
        <v>45844.0</v>
      </c>
    </row>
    <row r="8">
      <c r="A8" s="33">
        <v>45845.0</v>
      </c>
      <c r="B8" s="7" t="s">
        <v>67</v>
      </c>
    </row>
    <row r="9">
      <c r="A9" s="33">
        <v>45846.0</v>
      </c>
      <c r="B9" s="7" t="s">
        <v>68</v>
      </c>
      <c r="C9" s="7" t="s">
        <v>69</v>
      </c>
      <c r="D9" s="7" t="s">
        <v>70</v>
      </c>
    </row>
    <row r="10">
      <c r="A10" s="33">
        <v>45847.0</v>
      </c>
      <c r="B10" s="7" t="s">
        <v>71</v>
      </c>
    </row>
    <row r="11">
      <c r="A11" s="33">
        <v>45848.0</v>
      </c>
      <c r="B11" s="7" t="s">
        <v>72</v>
      </c>
    </row>
    <row r="12">
      <c r="A12" s="33">
        <v>45849.0</v>
      </c>
      <c r="B12" s="7" t="s">
        <v>73</v>
      </c>
      <c r="C12" s="7" t="s">
        <v>74</v>
      </c>
    </row>
    <row r="13">
      <c r="A13" s="33">
        <v>45850.0</v>
      </c>
      <c r="B13" s="7" t="s">
        <v>75</v>
      </c>
    </row>
    <row r="14">
      <c r="A14" s="33">
        <v>45851.0</v>
      </c>
      <c r="B14" s="7" t="s">
        <v>76</v>
      </c>
    </row>
    <row r="15">
      <c r="A15" s="33">
        <v>45852.0</v>
      </c>
      <c r="B15" s="7" t="s">
        <v>77</v>
      </c>
    </row>
    <row r="16">
      <c r="A16" s="33">
        <v>45853.0</v>
      </c>
      <c r="B16" s="7" t="s">
        <v>78</v>
      </c>
      <c r="C16" s="7" t="s">
        <v>79</v>
      </c>
    </row>
    <row r="17">
      <c r="A17" s="33">
        <v>45854.0</v>
      </c>
      <c r="B17" s="7" t="s">
        <v>80</v>
      </c>
    </row>
    <row r="18">
      <c r="A18" s="33">
        <v>45855.0</v>
      </c>
      <c r="B18" s="7" t="s">
        <v>81</v>
      </c>
    </row>
    <row r="19">
      <c r="A19" s="33">
        <v>45856.0</v>
      </c>
      <c r="B19" s="7" t="s">
        <v>82</v>
      </c>
      <c r="C19" s="7" t="s">
        <v>83</v>
      </c>
    </row>
    <row r="20">
      <c r="A20" s="33">
        <v>45857.0</v>
      </c>
      <c r="B20" s="7" t="s">
        <v>84</v>
      </c>
    </row>
    <row r="21" ht="15.75" customHeight="1">
      <c r="A21" s="33">
        <v>45858.0</v>
      </c>
      <c r="B21" s="7" t="s">
        <v>85</v>
      </c>
    </row>
    <row r="22" ht="15.75" customHeight="1">
      <c r="A22" s="33">
        <v>45859.0</v>
      </c>
      <c r="B22" s="7" t="s">
        <v>86</v>
      </c>
      <c r="C22" s="7" t="s">
        <v>87</v>
      </c>
    </row>
    <row r="23" ht="15.75" customHeight="1">
      <c r="A23" s="33">
        <v>45860.0</v>
      </c>
      <c r="B23" s="7" t="s">
        <v>88</v>
      </c>
      <c r="C23" s="7" t="s">
        <v>89</v>
      </c>
      <c r="D23" s="7" t="s">
        <v>90</v>
      </c>
    </row>
    <row r="24" ht="15.75" customHeight="1">
      <c r="A24" s="33">
        <v>45861.0</v>
      </c>
      <c r="B24" s="7" t="s">
        <v>91</v>
      </c>
    </row>
    <row r="25" ht="15.75" customHeight="1">
      <c r="A25" s="33">
        <v>45862.0</v>
      </c>
      <c r="B25" s="7" t="s">
        <v>92</v>
      </c>
    </row>
    <row r="26" ht="15.75" customHeight="1">
      <c r="A26" s="33">
        <v>45863.0</v>
      </c>
      <c r="B26" s="7" t="s">
        <v>93</v>
      </c>
    </row>
    <row r="27" ht="15.75" customHeight="1">
      <c r="A27" s="33">
        <v>45864.0</v>
      </c>
      <c r="B27" s="7" t="s">
        <v>94</v>
      </c>
      <c r="C27" s="7" t="s">
        <v>95</v>
      </c>
    </row>
    <row r="28" ht="15.75" customHeight="1">
      <c r="A28" s="33">
        <v>45865.0</v>
      </c>
      <c r="B28" s="7" t="s">
        <v>96</v>
      </c>
      <c r="C28" s="7" t="s">
        <v>97</v>
      </c>
    </row>
    <row r="29" ht="15.75" customHeight="1">
      <c r="B29" s="7" t="s">
        <v>96</v>
      </c>
      <c r="C29" s="7" t="s">
        <v>98</v>
      </c>
    </row>
    <row r="30" ht="15.75" customHeight="1">
      <c r="B30" s="7" t="s">
        <v>96</v>
      </c>
      <c r="C30" s="7" t="s">
        <v>99</v>
      </c>
    </row>
    <row r="31" ht="15.75" customHeight="1">
      <c r="B31" s="7" t="s">
        <v>96</v>
      </c>
      <c r="C31" s="7" t="s">
        <v>100</v>
      </c>
    </row>
    <row r="32" ht="15.75" customHeight="1">
      <c r="A32" s="33">
        <v>45866.0</v>
      </c>
      <c r="B32" s="7" t="s">
        <v>101</v>
      </c>
      <c r="C32" s="7" t="s">
        <v>102</v>
      </c>
    </row>
    <row r="33" ht="15.75" customHeight="1">
      <c r="C33" s="7" t="s">
        <v>103</v>
      </c>
    </row>
    <row r="34" ht="15.75" customHeight="1">
      <c r="C34" s="7" t="s">
        <v>104</v>
      </c>
    </row>
    <row r="35" ht="15.75" customHeight="1">
      <c r="A35" s="34">
        <v>45867.0</v>
      </c>
      <c r="B35" s="7" t="s">
        <v>105</v>
      </c>
    </row>
    <row r="36" ht="15.75" customHeight="1">
      <c r="A36" s="34">
        <v>45868.0</v>
      </c>
      <c r="B36" s="7" t="s">
        <v>106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4.0"/>
    <col customWidth="1" min="3" max="3" width="19.71"/>
    <col customWidth="1" min="4" max="4" width="6.14"/>
    <col customWidth="1" min="5" max="5" width="14.29"/>
    <col customWidth="1" min="6" max="6" width="7.0"/>
    <col customWidth="1" min="7" max="7" width="10.86"/>
    <col customWidth="1" min="8" max="26" width="8.71"/>
  </cols>
  <sheetData>
    <row r="1">
      <c r="A1" s="7" t="s">
        <v>0</v>
      </c>
      <c r="B1" s="7" t="s">
        <v>107</v>
      </c>
      <c r="C1" s="7" t="s">
        <v>108</v>
      </c>
      <c r="D1" s="7" t="s">
        <v>109</v>
      </c>
      <c r="E1" s="7" t="s">
        <v>110</v>
      </c>
      <c r="F1" s="7" t="s">
        <v>111</v>
      </c>
      <c r="G1" s="7" t="s">
        <v>112</v>
      </c>
    </row>
    <row r="2">
      <c r="A2" s="35">
        <v>45693.0</v>
      </c>
      <c r="B2" s="7" t="s">
        <v>113</v>
      </c>
      <c r="C2" s="7" t="s">
        <v>114</v>
      </c>
      <c r="E2" s="7" t="s">
        <v>115</v>
      </c>
      <c r="G2" s="7" t="s">
        <v>116</v>
      </c>
    </row>
    <row r="3">
      <c r="A3" s="35">
        <v>45694.0</v>
      </c>
      <c r="B3" s="7" t="s">
        <v>117</v>
      </c>
    </row>
    <row r="4">
      <c r="A4" s="35">
        <v>45695.0</v>
      </c>
    </row>
    <row r="5">
      <c r="A5" s="35">
        <v>45696.0</v>
      </c>
    </row>
    <row r="6">
      <c r="A6" s="35">
        <v>45697.0</v>
      </c>
    </row>
    <row r="7">
      <c r="A7" s="35">
        <v>45698.0</v>
      </c>
    </row>
    <row r="8">
      <c r="A8" s="35">
        <v>45699.0</v>
      </c>
    </row>
    <row r="9">
      <c r="A9" s="35">
        <v>45700.0</v>
      </c>
    </row>
    <row r="10">
      <c r="A10" s="35">
        <v>45701.0</v>
      </c>
    </row>
    <row r="11">
      <c r="A11" s="35">
        <v>45702.0</v>
      </c>
    </row>
    <row r="12">
      <c r="A12" s="35">
        <v>45703.0</v>
      </c>
    </row>
    <row r="13">
      <c r="A13" s="35">
        <v>45704.0</v>
      </c>
    </row>
    <row r="14">
      <c r="A14" s="35">
        <v>45705.0</v>
      </c>
    </row>
    <row r="17">
      <c r="A17" s="7" t="s">
        <v>118</v>
      </c>
    </row>
    <row r="18">
      <c r="A18" s="7" t="s">
        <v>119</v>
      </c>
      <c r="B18" s="7" t="s">
        <v>107</v>
      </c>
      <c r="D18" s="7" t="s">
        <v>109</v>
      </c>
      <c r="F18" s="7" t="s">
        <v>120</v>
      </c>
      <c r="G18" s="7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43"/>
    <col customWidth="1" min="3" max="3" width="10.29"/>
    <col customWidth="1" min="4" max="26" width="8.71"/>
  </cols>
  <sheetData>
    <row r="1">
      <c r="A1" s="35" t="s">
        <v>0</v>
      </c>
      <c r="B1" s="36" t="s">
        <v>121</v>
      </c>
      <c r="C1" s="7" t="s">
        <v>122</v>
      </c>
    </row>
    <row r="2">
      <c r="A2" s="35">
        <v>45292.0</v>
      </c>
      <c r="B2" s="3" t="s">
        <v>10</v>
      </c>
      <c r="C2" s="3">
        <v>8000.0</v>
      </c>
    </row>
    <row r="3">
      <c r="A3" s="35">
        <v>45292.0</v>
      </c>
      <c r="B3" s="3" t="s">
        <v>8</v>
      </c>
      <c r="C3" s="3">
        <v>2000.0</v>
      </c>
    </row>
    <row r="4">
      <c r="A4" s="35">
        <v>45292.0</v>
      </c>
      <c r="B4" s="3" t="s">
        <v>123</v>
      </c>
      <c r="C4" s="3">
        <v>2000.0</v>
      </c>
    </row>
    <row r="5">
      <c r="A5" s="35">
        <v>45292.0</v>
      </c>
      <c r="B5" s="37" t="s">
        <v>12</v>
      </c>
      <c r="C5" s="3">
        <v>5000.0</v>
      </c>
    </row>
    <row r="6">
      <c r="A6" s="35">
        <v>45292.0</v>
      </c>
      <c r="B6" s="7" t="s">
        <v>11</v>
      </c>
      <c r="C6" s="7">
        <f>'JAN 24'!D32</f>
        <v>4225</v>
      </c>
    </row>
    <row r="7">
      <c r="A7" s="35">
        <v>45323.0</v>
      </c>
      <c r="B7" s="3" t="s">
        <v>10</v>
      </c>
      <c r="C7" s="3">
        <v>8000.0</v>
      </c>
      <c r="E7" s="13"/>
    </row>
    <row r="8">
      <c r="A8" s="35">
        <v>45323.0</v>
      </c>
      <c r="B8" s="3" t="s">
        <v>8</v>
      </c>
      <c r="C8" s="3">
        <v>2000.0</v>
      </c>
      <c r="D8" s="3"/>
      <c r="E8" s="3"/>
    </row>
    <row r="9">
      <c r="A9" s="35">
        <v>45323.0</v>
      </c>
      <c r="B9" s="3" t="s">
        <v>14</v>
      </c>
      <c r="C9" s="3">
        <v>2000.0</v>
      </c>
    </row>
    <row r="10">
      <c r="A10" s="35">
        <v>45323.0</v>
      </c>
      <c r="B10" s="7" t="s">
        <v>44</v>
      </c>
      <c r="C10" s="3">
        <v>300.0</v>
      </c>
      <c r="D10" s="3"/>
    </row>
    <row r="11">
      <c r="A11" s="35">
        <v>45323.0</v>
      </c>
      <c r="B11" s="3" t="s">
        <v>32</v>
      </c>
      <c r="C11" s="3">
        <v>300.0</v>
      </c>
    </row>
    <row r="12">
      <c r="A12" s="35">
        <v>45323.0</v>
      </c>
      <c r="B12" s="3" t="s">
        <v>124</v>
      </c>
      <c r="C12" s="3">
        <v>150.0</v>
      </c>
      <c r="D12" s="3"/>
    </row>
    <row r="13">
      <c r="A13" s="35">
        <v>45323.0</v>
      </c>
      <c r="B13" s="3" t="s">
        <v>23</v>
      </c>
      <c r="C13" s="3">
        <v>500.0</v>
      </c>
    </row>
    <row r="14">
      <c r="A14" s="35">
        <v>45323.0</v>
      </c>
      <c r="B14" s="3" t="s">
        <v>11</v>
      </c>
      <c r="C14" s="7">
        <v>3421.0</v>
      </c>
    </row>
    <row r="15">
      <c r="A15" s="35">
        <v>45352.0</v>
      </c>
      <c r="B15" s="37" t="s">
        <v>12</v>
      </c>
      <c r="C15" s="3">
        <v>1040.0</v>
      </c>
    </row>
    <row r="16">
      <c r="A16" s="35">
        <v>45352.0</v>
      </c>
      <c r="B16" s="37" t="s">
        <v>10</v>
      </c>
      <c r="C16" s="3">
        <v>8000.0</v>
      </c>
    </row>
    <row r="17">
      <c r="A17" s="35">
        <v>45352.0</v>
      </c>
      <c r="B17" s="3" t="s">
        <v>8</v>
      </c>
      <c r="C17" s="3">
        <v>2300.0</v>
      </c>
    </row>
    <row r="18">
      <c r="A18" s="35">
        <v>45352.0</v>
      </c>
      <c r="B18" s="37" t="s">
        <v>14</v>
      </c>
      <c r="C18" s="3">
        <v>2000.0</v>
      </c>
    </row>
    <row r="19">
      <c r="A19" s="35">
        <v>45352.0</v>
      </c>
      <c r="B19" s="37" t="s">
        <v>23</v>
      </c>
      <c r="C19" s="3">
        <v>1000.0</v>
      </c>
    </row>
    <row r="20">
      <c r="A20" s="35">
        <v>45352.0</v>
      </c>
      <c r="B20" s="37" t="s">
        <v>125</v>
      </c>
      <c r="C20" s="3">
        <v>500.0</v>
      </c>
    </row>
    <row r="21" ht="15.75" customHeight="1">
      <c r="A21" s="35">
        <v>45352.0</v>
      </c>
      <c r="B21" s="37" t="s">
        <v>11</v>
      </c>
      <c r="C21" s="7">
        <v>4035.0</v>
      </c>
    </row>
    <row r="22" ht="15.75" customHeight="1">
      <c r="A22" s="35">
        <v>45352.0</v>
      </c>
      <c r="B22" s="37" t="s">
        <v>12</v>
      </c>
      <c r="C22" s="3">
        <v>1040.0</v>
      </c>
    </row>
    <row r="23" ht="15.75" customHeight="1">
      <c r="A23" s="35">
        <v>45352.0</v>
      </c>
      <c r="B23" s="37" t="s">
        <v>10</v>
      </c>
      <c r="C23" s="3">
        <v>8000.0</v>
      </c>
    </row>
    <row r="24" ht="15.75" customHeight="1">
      <c r="A24" s="35">
        <v>45352.0</v>
      </c>
      <c r="B24" s="3" t="s">
        <v>8</v>
      </c>
      <c r="C24" s="3">
        <v>2300.0</v>
      </c>
    </row>
    <row r="25" ht="15.75" customHeight="1">
      <c r="A25" s="35">
        <v>45352.0</v>
      </c>
      <c r="B25" s="37" t="s">
        <v>14</v>
      </c>
      <c r="C25" s="3">
        <v>2000.0</v>
      </c>
    </row>
    <row r="26" ht="15.75" customHeight="1">
      <c r="A26" s="35">
        <v>45352.0</v>
      </c>
      <c r="B26" s="37" t="s">
        <v>23</v>
      </c>
      <c r="C26" s="3">
        <v>1000.0</v>
      </c>
    </row>
    <row r="27" ht="15.75" customHeight="1">
      <c r="A27" s="35">
        <v>45352.0</v>
      </c>
      <c r="B27" s="37" t="s">
        <v>125</v>
      </c>
      <c r="C27" s="3">
        <v>500.0</v>
      </c>
    </row>
    <row r="28" ht="15.75" customHeight="1">
      <c r="A28" s="35">
        <v>45352.0</v>
      </c>
      <c r="B28" s="37" t="s">
        <v>11</v>
      </c>
      <c r="C28" s="7">
        <v>4035.0</v>
      </c>
    </row>
    <row r="29" ht="15.75" customHeight="1">
      <c r="A29" s="35">
        <v>45383.0</v>
      </c>
      <c r="B29" s="3" t="s">
        <v>10</v>
      </c>
      <c r="C29" s="3">
        <v>8000.0</v>
      </c>
    </row>
    <row r="30" ht="15.75" customHeight="1">
      <c r="A30" s="35">
        <v>45383.0</v>
      </c>
      <c r="B30" s="3" t="s">
        <v>8</v>
      </c>
      <c r="C30" s="3">
        <v>2000.0</v>
      </c>
    </row>
    <row r="31" ht="15.75" customHeight="1">
      <c r="A31" s="35">
        <v>45383.0</v>
      </c>
      <c r="B31" s="3" t="s">
        <v>23</v>
      </c>
      <c r="C31" s="3">
        <v>1700.0</v>
      </c>
    </row>
    <row r="32" ht="15.75" customHeight="1">
      <c r="A32" s="35">
        <v>45383.0</v>
      </c>
      <c r="B32" s="3" t="s">
        <v>12</v>
      </c>
      <c r="C32" s="3">
        <v>1500.0</v>
      </c>
    </row>
    <row r="33" ht="15.75" customHeight="1">
      <c r="A33" s="35">
        <v>45383.0</v>
      </c>
      <c r="B33" s="3" t="s">
        <v>14</v>
      </c>
      <c r="C33" s="3">
        <v>3000.0</v>
      </c>
    </row>
    <row r="34" ht="15.75" customHeight="1">
      <c r="A34" s="35">
        <v>45383.0</v>
      </c>
      <c r="B34" s="3" t="s">
        <v>126</v>
      </c>
      <c r="C34" s="3">
        <v>750.0</v>
      </c>
    </row>
    <row r="35" ht="15.75" customHeight="1">
      <c r="A35" s="35">
        <v>45383.0</v>
      </c>
      <c r="B35" s="7" t="s">
        <v>44</v>
      </c>
      <c r="C35" s="3">
        <v>300.0</v>
      </c>
    </row>
    <row r="36" ht="15.75" customHeight="1">
      <c r="A36" s="35">
        <v>45383.0</v>
      </c>
      <c r="B36" s="7" t="s">
        <v>11</v>
      </c>
      <c r="C36" s="7">
        <v>3137.0</v>
      </c>
    </row>
    <row r="37" ht="15.75" customHeight="1">
      <c r="A37" s="35">
        <v>45413.0</v>
      </c>
      <c r="B37" s="3" t="s">
        <v>14</v>
      </c>
      <c r="C37" s="3">
        <v>2000.0</v>
      </c>
    </row>
    <row r="38" ht="15.75" customHeight="1">
      <c r="A38" s="35">
        <v>45413.0</v>
      </c>
      <c r="B38" s="3" t="s">
        <v>8</v>
      </c>
      <c r="C38" s="3">
        <v>2300.0</v>
      </c>
    </row>
    <row r="39" ht="15.75" customHeight="1">
      <c r="A39" s="35">
        <v>45413.0</v>
      </c>
      <c r="B39" s="3" t="s">
        <v>10</v>
      </c>
      <c r="C39" s="3">
        <v>8000.0</v>
      </c>
    </row>
    <row r="40" ht="15.75" customHeight="1">
      <c r="A40" s="35">
        <v>45413.0</v>
      </c>
      <c r="B40" s="3" t="s">
        <v>11</v>
      </c>
      <c r="C40" s="3">
        <v>4650.0</v>
      </c>
    </row>
    <row r="41" ht="15.75" customHeight="1">
      <c r="A41" s="35">
        <v>45413.0</v>
      </c>
      <c r="B41" s="3" t="s">
        <v>127</v>
      </c>
      <c r="C41" s="3">
        <f>150</f>
        <v>150</v>
      </c>
    </row>
    <row r="42" ht="15.75" customHeight="1">
      <c r="A42" s="35">
        <v>45413.0</v>
      </c>
      <c r="B42" s="3" t="s">
        <v>48</v>
      </c>
      <c r="C42" s="3">
        <f>SUM(C37:C41)</f>
        <v>17100</v>
      </c>
    </row>
    <row r="43" ht="15.75" customHeight="1">
      <c r="A43" s="35">
        <v>45413.0</v>
      </c>
      <c r="B43" s="3" t="s">
        <v>128</v>
      </c>
      <c r="C43" s="3">
        <v>25000.0</v>
      </c>
    </row>
    <row r="44" ht="15.75" customHeight="1">
      <c r="A44" s="35">
        <v>45444.0</v>
      </c>
      <c r="B44" s="3" t="s">
        <v>14</v>
      </c>
      <c r="C44" s="3">
        <v>2000.0</v>
      </c>
    </row>
    <row r="45" ht="15.75" customHeight="1">
      <c r="A45" s="35">
        <v>45444.0</v>
      </c>
      <c r="B45" s="3" t="s">
        <v>8</v>
      </c>
      <c r="C45" s="3">
        <v>2000.0</v>
      </c>
    </row>
    <row r="46" ht="15.75" customHeight="1">
      <c r="A46" s="35">
        <v>45444.0</v>
      </c>
      <c r="B46" s="3" t="s">
        <v>10</v>
      </c>
      <c r="C46" s="3">
        <v>8000.0</v>
      </c>
    </row>
    <row r="47" ht="15.75" customHeight="1">
      <c r="A47" s="35">
        <v>45444.0</v>
      </c>
      <c r="B47" s="3" t="s">
        <v>11</v>
      </c>
      <c r="C47" s="3">
        <v>4237.0</v>
      </c>
    </row>
    <row r="48" ht="15.75" customHeight="1">
      <c r="A48" s="35">
        <v>45444.0</v>
      </c>
      <c r="B48" s="3" t="s">
        <v>127</v>
      </c>
      <c r="C48" s="3">
        <v>200.0</v>
      </c>
    </row>
    <row r="49" ht="15.75" customHeight="1">
      <c r="A49" s="35">
        <v>45444.0</v>
      </c>
      <c r="B49" s="7" t="s">
        <v>44</v>
      </c>
      <c r="C49" s="13">
        <v>300.0</v>
      </c>
    </row>
    <row r="50" ht="15.75" customHeight="1">
      <c r="A50" s="35">
        <v>45658.0</v>
      </c>
      <c r="B50" s="7" t="s">
        <v>44</v>
      </c>
      <c r="C50" s="3">
        <v>300.0</v>
      </c>
      <c r="E50" s="3"/>
    </row>
    <row r="51" ht="15.75" customHeight="1">
      <c r="A51" s="35">
        <v>45658.0</v>
      </c>
      <c r="B51" s="3" t="s">
        <v>8</v>
      </c>
      <c r="C51" s="3">
        <v>2000.0</v>
      </c>
      <c r="D51" s="3"/>
      <c r="E51" s="3"/>
    </row>
    <row r="52" ht="15.75" customHeight="1">
      <c r="A52" s="35">
        <v>45658.0</v>
      </c>
      <c r="B52" s="3" t="s">
        <v>10</v>
      </c>
      <c r="C52" s="3">
        <v>7000.0</v>
      </c>
      <c r="D52" s="3"/>
      <c r="E52" s="3"/>
    </row>
    <row r="53" ht="15.75" customHeight="1">
      <c r="A53" s="35">
        <v>45658.0</v>
      </c>
      <c r="B53" s="3" t="s">
        <v>11</v>
      </c>
      <c r="C53" s="13">
        <v>2590.0</v>
      </c>
      <c r="D53" s="3"/>
      <c r="E53" s="13"/>
    </row>
    <row r="54" ht="15.75" customHeight="1">
      <c r="A54" s="35">
        <v>45658.0</v>
      </c>
      <c r="B54" s="7" t="s">
        <v>12</v>
      </c>
      <c r="C54" s="7">
        <f>1200+1500</f>
        <v>2700</v>
      </c>
    </row>
    <row r="55" ht="15.75" customHeight="1">
      <c r="A55" s="35">
        <v>45658.0</v>
      </c>
      <c r="B55" s="3" t="s">
        <v>13</v>
      </c>
      <c r="C55" s="7">
        <v>500.0</v>
      </c>
      <c r="D55" s="3"/>
    </row>
    <row r="56" ht="15.75" customHeight="1">
      <c r="A56" s="35">
        <v>45658.0</v>
      </c>
      <c r="B56" s="7" t="s">
        <v>14</v>
      </c>
      <c r="C56" s="3">
        <v>3000.0</v>
      </c>
      <c r="E56" s="3"/>
    </row>
    <row r="57" ht="15.75" customHeight="1">
      <c r="A57" s="35">
        <v>45658.0</v>
      </c>
      <c r="B57" s="3" t="s">
        <v>15</v>
      </c>
      <c r="C57" s="7">
        <v>620.0</v>
      </c>
      <c r="D57" s="3"/>
    </row>
    <row r="58" ht="15.75" customHeight="1">
      <c r="A58" s="35">
        <v>45658.0</v>
      </c>
      <c r="B58" s="7" t="s">
        <v>16</v>
      </c>
      <c r="C58" s="3">
        <v>600.0</v>
      </c>
      <c r="E58" s="3"/>
    </row>
    <row r="59" ht="15.75" customHeight="1">
      <c r="A59" s="38">
        <v>45689.0</v>
      </c>
      <c r="B59" s="7" t="s">
        <v>44</v>
      </c>
      <c r="C59" s="13">
        <v>300.0</v>
      </c>
      <c r="E59" s="13"/>
    </row>
    <row r="60" ht="15.75" customHeight="1">
      <c r="A60" s="38">
        <v>45689.0</v>
      </c>
      <c r="B60" s="3" t="s">
        <v>8</v>
      </c>
      <c r="C60" s="3">
        <v>2000.0</v>
      </c>
      <c r="D60" s="3"/>
      <c r="E60" s="3"/>
    </row>
    <row r="61" ht="15.75" customHeight="1">
      <c r="A61" s="38">
        <v>45689.0</v>
      </c>
      <c r="B61" s="7" t="s">
        <v>19</v>
      </c>
      <c r="C61" s="7">
        <v>500.0</v>
      </c>
    </row>
    <row r="62" ht="15.75" customHeight="1">
      <c r="A62" s="38">
        <v>45689.0</v>
      </c>
      <c r="B62" s="3" t="s">
        <v>11</v>
      </c>
      <c r="C62" s="9">
        <v>2737.0</v>
      </c>
      <c r="D62" s="3"/>
    </row>
    <row r="63" ht="15.75" customHeight="1">
      <c r="A63" s="38">
        <v>45689.0</v>
      </c>
      <c r="B63" s="7" t="s">
        <v>16</v>
      </c>
      <c r="C63" s="7">
        <v>600.0</v>
      </c>
    </row>
    <row r="64" ht="15.75" customHeight="1">
      <c r="A64" s="38">
        <v>45689.0</v>
      </c>
      <c r="B64" s="3" t="s">
        <v>10</v>
      </c>
      <c r="C64" s="7">
        <v>7000.0</v>
      </c>
      <c r="D64" s="3"/>
    </row>
    <row r="65" ht="15.75" customHeight="1">
      <c r="A65" s="38">
        <v>45689.0</v>
      </c>
      <c r="B65" s="7" t="s">
        <v>20</v>
      </c>
      <c r="C65" s="7">
        <v>800.0</v>
      </c>
    </row>
    <row r="66" ht="15.75" customHeight="1">
      <c r="A66" s="38">
        <v>45689.0</v>
      </c>
      <c r="B66" s="7" t="s">
        <v>17</v>
      </c>
      <c r="C66" s="9">
        <v>500.0</v>
      </c>
    </row>
    <row r="67" ht="15.75" customHeight="1">
      <c r="A67" s="35">
        <v>45717.0</v>
      </c>
      <c r="B67" s="7" t="s">
        <v>44</v>
      </c>
      <c r="C67" s="9">
        <v>300.0</v>
      </c>
    </row>
    <row r="68" ht="15.75" customHeight="1">
      <c r="A68" s="35">
        <v>45717.0</v>
      </c>
      <c r="B68" s="7" t="s">
        <v>8</v>
      </c>
      <c r="C68" s="7">
        <v>2000.0</v>
      </c>
    </row>
    <row r="69" ht="15.75" customHeight="1">
      <c r="A69" s="35">
        <v>45717.0</v>
      </c>
      <c r="B69" s="7" t="s">
        <v>19</v>
      </c>
      <c r="C69" s="7">
        <v>500.0</v>
      </c>
    </row>
    <row r="70" ht="15.75" customHeight="1">
      <c r="A70" s="35">
        <v>45717.0</v>
      </c>
      <c r="B70" s="7" t="s">
        <v>11</v>
      </c>
      <c r="C70" s="9">
        <v>2619.0</v>
      </c>
    </row>
    <row r="71" ht="15.75" customHeight="1">
      <c r="A71" s="35">
        <v>45717.0</v>
      </c>
      <c r="B71" s="7" t="s">
        <v>22</v>
      </c>
      <c r="C71" s="7">
        <v>630.0</v>
      </c>
    </row>
    <row r="72" ht="15.75" customHeight="1">
      <c r="A72" s="35">
        <v>45717.0</v>
      </c>
      <c r="B72" s="7" t="s">
        <v>10</v>
      </c>
      <c r="C72" s="7">
        <v>7000.0</v>
      </c>
    </row>
    <row r="73" ht="15.75" customHeight="1">
      <c r="A73" s="35">
        <v>45717.0</v>
      </c>
      <c r="B73" s="7" t="s">
        <v>15</v>
      </c>
      <c r="C73" s="7">
        <v>580.0</v>
      </c>
    </row>
    <row r="74" ht="15.75" customHeight="1">
      <c r="A74" s="35">
        <v>45717.0</v>
      </c>
      <c r="B74" s="7" t="s">
        <v>14</v>
      </c>
      <c r="C74" s="7">
        <v>3000.0</v>
      </c>
    </row>
    <row r="75" ht="15.75" customHeight="1">
      <c r="A75" s="35">
        <v>45717.0</v>
      </c>
      <c r="B75" s="7" t="s">
        <v>23</v>
      </c>
      <c r="C75" s="7">
        <v>1347.0</v>
      </c>
    </row>
    <row r="76" ht="15.75" customHeight="1">
      <c r="A76" s="35">
        <v>45717.0</v>
      </c>
      <c r="B76" s="7" t="s">
        <v>24</v>
      </c>
      <c r="C76" s="7">
        <v>3350.0</v>
      </c>
    </row>
    <row r="77" ht="15.75" customHeight="1">
      <c r="A77" s="35">
        <v>45717.0</v>
      </c>
      <c r="B77" s="7" t="s">
        <v>12</v>
      </c>
      <c r="C77" s="7">
        <v>3000.0</v>
      </c>
    </row>
    <row r="78" ht="15.75" customHeight="1">
      <c r="A78" s="35">
        <v>45717.0</v>
      </c>
      <c r="B78" s="7" t="s">
        <v>17</v>
      </c>
      <c r="C78" s="9">
        <v>500.0</v>
      </c>
    </row>
    <row r="79" ht="15.75" customHeight="1">
      <c r="A79" s="35">
        <v>45748.0</v>
      </c>
      <c r="B79" s="7" t="s">
        <v>44</v>
      </c>
      <c r="C79" s="9">
        <v>300.0</v>
      </c>
    </row>
    <row r="80" ht="15.75" customHeight="1">
      <c r="A80" s="35">
        <v>45748.0</v>
      </c>
      <c r="B80" s="7" t="s">
        <v>8</v>
      </c>
      <c r="C80" s="7">
        <v>2000.0</v>
      </c>
    </row>
    <row r="81" ht="15.75" customHeight="1">
      <c r="A81" s="35">
        <v>45748.0</v>
      </c>
      <c r="B81" s="7" t="s">
        <v>19</v>
      </c>
      <c r="C81" s="7">
        <v>500.0</v>
      </c>
    </row>
    <row r="82" ht="15.75" customHeight="1">
      <c r="A82" s="35">
        <v>45748.0</v>
      </c>
      <c r="B82" s="7" t="s">
        <v>11</v>
      </c>
      <c r="C82" s="9">
        <v>1614.0</v>
      </c>
    </row>
    <row r="83" ht="15.75" customHeight="1">
      <c r="A83" s="35">
        <v>45748.0</v>
      </c>
      <c r="B83" s="7" t="s">
        <v>26</v>
      </c>
      <c r="C83" s="7">
        <v>2600.0</v>
      </c>
    </row>
    <row r="84" ht="15.75" customHeight="1">
      <c r="A84" s="35">
        <v>45748.0</v>
      </c>
      <c r="B84" s="7" t="s">
        <v>10</v>
      </c>
      <c r="C84" s="7">
        <v>7000.0</v>
      </c>
    </row>
    <row r="85" ht="15.75" customHeight="1">
      <c r="A85" s="35">
        <v>45748.0</v>
      </c>
      <c r="B85" s="7" t="s">
        <v>23</v>
      </c>
      <c r="C85" s="7">
        <f>800+1480+600</f>
        <v>2880</v>
      </c>
    </row>
    <row r="86" ht="15.75" customHeight="1">
      <c r="A86" s="35">
        <v>45748.0</v>
      </c>
      <c r="B86" s="7" t="s">
        <v>14</v>
      </c>
      <c r="C86" s="7">
        <v>2000.0</v>
      </c>
    </row>
    <row r="87" ht="15.75" customHeight="1">
      <c r="A87" s="35">
        <v>45748.0</v>
      </c>
      <c r="B87" s="7" t="s">
        <v>27</v>
      </c>
      <c r="C87" s="7">
        <v>140.0</v>
      </c>
    </row>
    <row r="88" ht="15.75" customHeight="1">
      <c r="A88" s="35">
        <v>45748.0</v>
      </c>
      <c r="B88" s="7" t="s">
        <v>28</v>
      </c>
      <c r="C88" s="7">
        <v>2400.0</v>
      </c>
    </row>
    <row r="89" ht="15.75" customHeight="1">
      <c r="A89" s="35">
        <v>45748.0</v>
      </c>
      <c r="B89" s="7" t="s">
        <v>17</v>
      </c>
      <c r="C89" s="9">
        <v>500.0</v>
      </c>
    </row>
    <row r="90" ht="15.75" customHeight="1">
      <c r="A90" s="35">
        <v>45778.0</v>
      </c>
      <c r="B90" s="7" t="s">
        <v>44</v>
      </c>
      <c r="C90" s="9">
        <v>800.0</v>
      </c>
    </row>
    <row r="91" ht="15.75" customHeight="1">
      <c r="A91" s="35">
        <v>45778.0</v>
      </c>
      <c r="B91" s="7" t="s">
        <v>8</v>
      </c>
      <c r="C91" s="7">
        <v>2000.0</v>
      </c>
    </row>
    <row r="92" ht="15.75" customHeight="1">
      <c r="A92" s="35">
        <v>45778.0</v>
      </c>
      <c r="B92" s="7" t="s">
        <v>19</v>
      </c>
      <c r="C92" s="7">
        <v>500.0</v>
      </c>
    </row>
    <row r="93" ht="15.75" customHeight="1">
      <c r="A93" s="35">
        <v>45778.0</v>
      </c>
      <c r="B93" s="7" t="s">
        <v>11</v>
      </c>
      <c r="C93" s="9">
        <v>2697.0</v>
      </c>
    </row>
    <row r="94" ht="15.75" customHeight="1">
      <c r="A94" s="35">
        <v>45778.0</v>
      </c>
      <c r="B94" s="7" t="s">
        <v>30</v>
      </c>
      <c r="C94" s="7">
        <v>400.0</v>
      </c>
    </row>
    <row r="95" ht="15.75" customHeight="1">
      <c r="A95" s="35">
        <v>45778.0</v>
      </c>
      <c r="B95" s="7" t="s">
        <v>10</v>
      </c>
      <c r="C95" s="7">
        <v>7000.0</v>
      </c>
    </row>
    <row r="96" ht="15.75" customHeight="1">
      <c r="A96" s="35">
        <v>45778.0</v>
      </c>
      <c r="B96" s="7" t="s">
        <v>14</v>
      </c>
      <c r="C96" s="7">
        <v>2000.0</v>
      </c>
    </row>
    <row r="97" ht="15.75" customHeight="1">
      <c r="A97" s="35">
        <v>45778.0</v>
      </c>
      <c r="B97" s="7" t="s">
        <v>31</v>
      </c>
      <c r="C97" s="7">
        <v>1900.0</v>
      </c>
    </row>
    <row r="98" ht="15.75" customHeight="1">
      <c r="A98" s="35">
        <v>45778.0</v>
      </c>
      <c r="B98" s="7" t="s">
        <v>27</v>
      </c>
      <c r="C98" s="7">
        <f>55+120</f>
        <v>175</v>
      </c>
    </row>
    <row r="99" ht="15.75" customHeight="1">
      <c r="A99" s="35">
        <v>45778.0</v>
      </c>
      <c r="B99" s="7" t="s">
        <v>15</v>
      </c>
      <c r="C99" s="7">
        <v>580.0</v>
      </c>
    </row>
    <row r="100" ht="15.75" customHeight="1">
      <c r="A100" s="35">
        <v>45778.0</v>
      </c>
      <c r="B100" s="7" t="s">
        <v>32</v>
      </c>
      <c r="C100" s="7">
        <v>79.0</v>
      </c>
    </row>
    <row r="101" ht="15.75" customHeight="1">
      <c r="A101" s="35">
        <v>45778.0</v>
      </c>
      <c r="B101" s="7" t="s">
        <v>55</v>
      </c>
      <c r="C101" s="7">
        <v>600.0</v>
      </c>
    </row>
    <row r="102" ht="15.75" customHeight="1">
      <c r="A102" s="35">
        <v>45778.0</v>
      </c>
      <c r="B102" s="7" t="s">
        <v>17</v>
      </c>
      <c r="C102" s="9">
        <v>500.0</v>
      </c>
    </row>
    <row r="103" ht="15.75" customHeight="1">
      <c r="A103" s="35">
        <v>45809.0</v>
      </c>
      <c r="B103" s="7" t="s">
        <v>44</v>
      </c>
      <c r="C103" s="9">
        <v>800.0</v>
      </c>
    </row>
    <row r="104" ht="15.75" customHeight="1">
      <c r="A104" s="35">
        <v>45809.0</v>
      </c>
      <c r="B104" s="7" t="s">
        <v>8</v>
      </c>
      <c r="C104" s="7">
        <v>2500.0</v>
      </c>
    </row>
    <row r="105" ht="15.75" customHeight="1">
      <c r="A105" s="35">
        <v>45809.0</v>
      </c>
      <c r="B105" s="7" t="s">
        <v>19</v>
      </c>
      <c r="C105" s="7">
        <v>500.0</v>
      </c>
    </row>
    <row r="106" ht="15.75" customHeight="1">
      <c r="A106" s="35">
        <v>45809.0</v>
      </c>
      <c r="B106" s="7" t="s">
        <v>11</v>
      </c>
      <c r="C106" s="9">
        <v>2570.0</v>
      </c>
    </row>
    <row r="107" ht="15.75" customHeight="1">
      <c r="A107" s="35">
        <v>45809.0</v>
      </c>
      <c r="B107" s="7" t="s">
        <v>14</v>
      </c>
      <c r="C107" s="7">
        <v>2500.0</v>
      </c>
    </row>
    <row r="108" ht="15.75" customHeight="1">
      <c r="A108" s="35">
        <v>45809.0</v>
      </c>
      <c r="B108" s="7" t="s">
        <v>10</v>
      </c>
      <c r="C108" s="7">
        <v>7000.0</v>
      </c>
    </row>
    <row r="109" ht="15.75" customHeight="1">
      <c r="A109" s="35">
        <v>45809.0</v>
      </c>
      <c r="B109" s="7" t="s">
        <v>34</v>
      </c>
      <c r="C109" s="7">
        <v>600.0</v>
      </c>
    </row>
    <row r="110" ht="15.75" customHeight="1">
      <c r="A110" s="35">
        <v>45809.0</v>
      </c>
      <c r="B110" s="7" t="s">
        <v>27</v>
      </c>
      <c r="C110" s="7">
        <v>570.0</v>
      </c>
    </row>
    <row r="111" ht="15.75" customHeight="1">
      <c r="A111" s="35">
        <v>45809.0</v>
      </c>
      <c r="B111" s="7" t="s">
        <v>17</v>
      </c>
      <c r="C111" s="9">
        <v>500.0</v>
      </c>
    </row>
    <row r="112" ht="15.75" customHeight="1">
      <c r="A112" s="35">
        <v>45839.0</v>
      </c>
      <c r="B112" s="7" t="s">
        <v>44</v>
      </c>
      <c r="C112" s="9">
        <v>800.0</v>
      </c>
    </row>
    <row r="113" ht="15.75" customHeight="1">
      <c r="A113" s="35">
        <v>45839.0</v>
      </c>
      <c r="B113" s="7" t="s">
        <v>8</v>
      </c>
      <c r="C113" s="7">
        <v>2500.0</v>
      </c>
    </row>
    <row r="114" ht="15.75" customHeight="1">
      <c r="A114" s="35">
        <v>45839.0</v>
      </c>
      <c r="B114" s="7" t="s">
        <v>19</v>
      </c>
      <c r="C114" s="7">
        <v>500.0</v>
      </c>
    </row>
    <row r="115" ht="15.75" customHeight="1">
      <c r="A115" s="35">
        <v>45839.0</v>
      </c>
      <c r="B115" s="7" t="s">
        <v>11</v>
      </c>
      <c r="C115" s="9">
        <v>2529.0</v>
      </c>
    </row>
    <row r="116" ht="15.75" customHeight="1">
      <c r="A116" s="35">
        <v>45839.0</v>
      </c>
      <c r="B116" s="7" t="s">
        <v>14</v>
      </c>
      <c r="C116" s="7">
        <v>3000.0</v>
      </c>
    </row>
    <row r="117" ht="15.75" customHeight="1">
      <c r="A117" s="35">
        <v>45839.0</v>
      </c>
      <c r="B117" s="7" t="s">
        <v>10</v>
      </c>
      <c r="C117" s="7">
        <v>7000.0</v>
      </c>
    </row>
    <row r="118" ht="15.75" customHeight="1">
      <c r="A118" s="35">
        <v>45839.0</v>
      </c>
      <c r="B118" s="7" t="s">
        <v>15</v>
      </c>
      <c r="C118" s="7">
        <v>578.0</v>
      </c>
    </row>
    <row r="119" ht="15.75" customHeight="1">
      <c r="A119" s="35">
        <v>45839.0</v>
      </c>
      <c r="B119" s="7" t="s">
        <v>27</v>
      </c>
      <c r="C119" s="7">
        <f>167+120+100</f>
        <v>387</v>
      </c>
    </row>
    <row r="120" ht="15.75" customHeight="1">
      <c r="A120" s="35">
        <v>45839.0</v>
      </c>
      <c r="B120" s="7" t="s">
        <v>23</v>
      </c>
      <c r="C120" s="7">
        <v>350.0</v>
      </c>
    </row>
    <row r="121" ht="15.75" customHeight="1">
      <c r="A121" s="35">
        <v>45839.0</v>
      </c>
      <c r="B121" s="7" t="s">
        <v>17</v>
      </c>
      <c r="C121" s="9">
        <v>500.0</v>
      </c>
    </row>
    <row r="122" ht="15.75" customHeight="1">
      <c r="A122" s="35">
        <v>45870.0</v>
      </c>
      <c r="B122" s="7" t="s">
        <v>44</v>
      </c>
      <c r="C122" s="9">
        <v>1000.0</v>
      </c>
    </row>
    <row r="123" ht="15.75" customHeight="1">
      <c r="A123" s="35">
        <v>45870.0</v>
      </c>
      <c r="B123" s="7" t="s">
        <v>8</v>
      </c>
      <c r="C123" s="7">
        <v>2000.0</v>
      </c>
    </row>
    <row r="124" ht="15.75" customHeight="1">
      <c r="A124" s="35">
        <v>45870.0</v>
      </c>
      <c r="B124" s="7" t="s">
        <v>19</v>
      </c>
      <c r="C124" s="7">
        <v>500.0</v>
      </c>
    </row>
    <row r="125" ht="15.75" customHeight="1">
      <c r="A125" s="35">
        <v>45870.0</v>
      </c>
      <c r="B125" s="7" t="s">
        <v>11</v>
      </c>
      <c r="C125" s="9">
        <v>2724.0</v>
      </c>
    </row>
    <row r="126" ht="15.75" customHeight="1">
      <c r="A126" s="35">
        <v>45870.0</v>
      </c>
      <c r="B126" s="7" t="s">
        <v>14</v>
      </c>
      <c r="C126" s="7">
        <v>2000.0</v>
      </c>
    </row>
    <row r="127" ht="15.75" customHeight="1">
      <c r="A127" s="35">
        <v>45870.0</v>
      </c>
      <c r="B127" s="7" t="s">
        <v>10</v>
      </c>
      <c r="C127" s="7">
        <v>7000.0</v>
      </c>
    </row>
    <row r="128" ht="15.75" customHeight="1">
      <c r="A128" s="35">
        <v>45870.0</v>
      </c>
      <c r="B128" s="7" t="s">
        <v>30</v>
      </c>
      <c r="C128" s="7">
        <v>150.0</v>
      </c>
    </row>
    <row r="129" ht="15.75" customHeight="1">
      <c r="A129" s="35">
        <v>45870.0</v>
      </c>
      <c r="B129" s="7" t="s">
        <v>22</v>
      </c>
      <c r="C129" s="7">
        <v>530.0</v>
      </c>
    </row>
    <row r="130" ht="15.75" customHeight="1">
      <c r="A130" s="35">
        <v>45870.0</v>
      </c>
      <c r="B130" s="7" t="s">
        <v>12</v>
      </c>
      <c r="C130" s="7">
        <f>1440+1550</f>
        <v>2990</v>
      </c>
    </row>
    <row r="131" ht="15.75" customHeight="1">
      <c r="A131" s="35">
        <v>45870.0</v>
      </c>
      <c r="B131" s="7" t="s">
        <v>30</v>
      </c>
      <c r="C131" s="7">
        <v>350.0</v>
      </c>
    </row>
    <row r="132" ht="15.75" customHeight="1">
      <c r="A132" s="35">
        <v>45870.0</v>
      </c>
      <c r="B132" s="7" t="s">
        <v>17</v>
      </c>
      <c r="C132" s="9">
        <v>500.0</v>
      </c>
    </row>
    <row r="133" ht="15.75" customHeight="1">
      <c r="A133" s="38">
        <v>45901.0</v>
      </c>
      <c r="B133" s="7" t="s">
        <v>44</v>
      </c>
      <c r="C133" s="7">
        <v>1000.0</v>
      </c>
    </row>
    <row r="134" ht="15.75" customHeight="1">
      <c r="A134" s="38">
        <v>45901.0</v>
      </c>
      <c r="B134" s="7" t="s">
        <v>8</v>
      </c>
      <c r="C134" s="7">
        <v>2000.0</v>
      </c>
    </row>
    <row r="135" ht="15.75" customHeight="1">
      <c r="A135" s="38">
        <v>45901.0</v>
      </c>
      <c r="B135" s="7" t="s">
        <v>19</v>
      </c>
      <c r="C135" s="7">
        <v>500.0</v>
      </c>
    </row>
    <row r="136" ht="15.75" customHeight="1">
      <c r="A136" s="38">
        <v>45901.0</v>
      </c>
      <c r="B136" s="7" t="s">
        <v>11</v>
      </c>
      <c r="C136" s="9">
        <v>2025.0</v>
      </c>
    </row>
    <row r="137" ht="15.75" customHeight="1">
      <c r="A137" s="38">
        <v>45901.0</v>
      </c>
      <c r="B137" s="7" t="s">
        <v>14</v>
      </c>
      <c r="C137" s="9">
        <v>0.0</v>
      </c>
    </row>
    <row r="138" ht="15.75" customHeight="1">
      <c r="A138" s="38">
        <v>45901.0</v>
      </c>
      <c r="B138" s="7" t="s">
        <v>10</v>
      </c>
      <c r="C138" s="7">
        <v>7000.0</v>
      </c>
    </row>
    <row r="139" ht="15.75" customHeight="1">
      <c r="A139" s="38">
        <v>45901.0</v>
      </c>
      <c r="B139" s="7" t="s">
        <v>17</v>
      </c>
      <c r="C139" s="7">
        <v>2500.0</v>
      </c>
    </row>
    <row r="140" ht="15.75" customHeight="1">
      <c r="A140" s="38">
        <v>45901.0</v>
      </c>
      <c r="B140" s="7" t="s">
        <v>12</v>
      </c>
      <c r="C140" s="7">
        <f>1021+1083</f>
        <v>2104</v>
      </c>
    </row>
    <row r="141" ht="15.75" customHeight="1">
      <c r="A141" s="38">
        <v>45901.0</v>
      </c>
      <c r="B141" s="3" t="s">
        <v>13</v>
      </c>
      <c r="C141" s="7">
        <v>188.0</v>
      </c>
    </row>
    <row r="142" ht="15.75" customHeight="1">
      <c r="A142" s="38">
        <v>45901.0</v>
      </c>
      <c r="B142" s="7" t="s">
        <v>27</v>
      </c>
      <c r="C142" s="7">
        <v>315.0</v>
      </c>
    </row>
    <row r="143" ht="15.75" customHeight="1">
      <c r="A143" s="38">
        <v>45901.0</v>
      </c>
      <c r="B143" s="7" t="s">
        <v>23</v>
      </c>
      <c r="C143" s="7">
        <f>700</f>
        <v>700</v>
      </c>
    </row>
    <row r="144" ht="15.75" customHeight="1">
      <c r="A144" s="38">
        <v>45901.0</v>
      </c>
      <c r="B144" s="7" t="s">
        <v>8</v>
      </c>
      <c r="C144" s="7">
        <f>4000</f>
        <v>4000</v>
      </c>
    </row>
    <row r="145" ht="15.75" customHeight="1">
      <c r="A145" s="38">
        <v>45931.0</v>
      </c>
      <c r="B145" s="7" t="s">
        <v>44</v>
      </c>
      <c r="C145" s="7">
        <v>1000.0</v>
      </c>
    </row>
    <row r="146" ht="15.75" customHeight="1">
      <c r="A146" s="38">
        <v>45931.0</v>
      </c>
      <c r="B146" s="7" t="s">
        <v>8</v>
      </c>
      <c r="C146" s="7">
        <v>2000.0</v>
      </c>
    </row>
    <row r="147" ht="15.75" customHeight="1">
      <c r="A147" s="38">
        <v>45931.0</v>
      </c>
      <c r="B147" s="7" t="s">
        <v>19</v>
      </c>
      <c r="C147" s="7">
        <v>500.0</v>
      </c>
    </row>
    <row r="148" ht="15.75" customHeight="1">
      <c r="A148" s="38">
        <v>45931.0</v>
      </c>
      <c r="B148" s="7" t="s">
        <v>11</v>
      </c>
      <c r="C148" s="9">
        <v>2026.0</v>
      </c>
    </row>
    <row r="149" ht="15.75" customHeight="1">
      <c r="A149" s="38">
        <v>45931.0</v>
      </c>
      <c r="B149" s="7" t="s">
        <v>10</v>
      </c>
      <c r="C149" s="7">
        <v>7000.0</v>
      </c>
    </row>
    <row r="150" ht="15.75" customHeight="1">
      <c r="A150" s="38">
        <v>45931.0</v>
      </c>
      <c r="B150" s="7" t="s">
        <v>17</v>
      </c>
      <c r="C150" s="7">
        <v>2500.0</v>
      </c>
    </row>
    <row r="151" ht="15.75" customHeight="1">
      <c r="A151" s="38">
        <v>45931.0</v>
      </c>
      <c r="B151" s="7" t="s">
        <v>12</v>
      </c>
      <c r="C151" s="7">
        <f>1520</f>
        <v>1520</v>
      </c>
    </row>
    <row r="152" ht="15.75" customHeight="1">
      <c r="A152" s="38">
        <v>45931.0</v>
      </c>
      <c r="B152" s="7" t="s">
        <v>23</v>
      </c>
      <c r="C152" s="7">
        <f>3190+1904+699</f>
        <v>5793</v>
      </c>
    </row>
    <row r="153" ht="15.75" customHeight="1">
      <c r="A153" s="38">
        <v>45962.0</v>
      </c>
      <c r="B153" s="7" t="s">
        <v>44</v>
      </c>
      <c r="C153" s="7">
        <v>1000.0</v>
      </c>
    </row>
    <row r="154" ht="15.75" customHeight="1">
      <c r="A154" s="38">
        <v>45962.0</v>
      </c>
      <c r="B154" s="7" t="s">
        <v>8</v>
      </c>
      <c r="C154" s="7">
        <v>2000.0</v>
      </c>
    </row>
    <row r="155" ht="15.75" customHeight="1">
      <c r="A155" s="38">
        <v>45962.0</v>
      </c>
      <c r="B155" s="7" t="s">
        <v>19</v>
      </c>
      <c r="C155" s="7">
        <v>500.0</v>
      </c>
    </row>
    <row r="156" ht="15.75" customHeight="1">
      <c r="A156" s="38">
        <v>45962.0</v>
      </c>
      <c r="B156" s="7" t="s">
        <v>11</v>
      </c>
      <c r="C156" s="9">
        <v>2940.0</v>
      </c>
    </row>
    <row r="157" ht="15.75" customHeight="1">
      <c r="A157" s="38">
        <v>45962.0</v>
      </c>
      <c r="B157" s="7" t="s">
        <v>10</v>
      </c>
      <c r="C157" s="7">
        <v>7000.0</v>
      </c>
    </row>
    <row r="158" ht="15.75" customHeight="1">
      <c r="A158" s="38">
        <v>45962.0</v>
      </c>
      <c r="B158" s="7" t="s">
        <v>17</v>
      </c>
      <c r="C158" s="7">
        <v>2500.0</v>
      </c>
    </row>
    <row r="159" ht="15.75" customHeight="1">
      <c r="A159" s="38">
        <v>45962.0</v>
      </c>
      <c r="B159" s="7" t="s">
        <v>12</v>
      </c>
      <c r="C159" s="7">
        <v>4723.0</v>
      </c>
    </row>
    <row r="160" ht="15.75" customHeight="1">
      <c r="A160" s="38">
        <v>45962.0</v>
      </c>
      <c r="B160" s="7" t="s">
        <v>23</v>
      </c>
      <c r="C160" s="7">
        <v>3976.0</v>
      </c>
    </row>
    <row r="161" ht="15.75" customHeight="1">
      <c r="A161" s="38">
        <v>45962.0</v>
      </c>
      <c r="B161" s="7" t="s">
        <v>14</v>
      </c>
      <c r="C161" s="7">
        <v>3000.0</v>
      </c>
    </row>
    <row r="162" ht="15.75" customHeight="1">
      <c r="A162" s="38">
        <v>45962.0</v>
      </c>
      <c r="B162" s="7" t="s">
        <v>8</v>
      </c>
      <c r="C162" s="7">
        <v>12000.0</v>
      </c>
    </row>
    <row r="163" ht="15.75" customHeight="1">
      <c r="A163" s="38">
        <v>45992.0</v>
      </c>
      <c r="B163" s="7" t="s">
        <v>10</v>
      </c>
      <c r="C163" s="7">
        <v>7000.0</v>
      </c>
    </row>
    <row r="164" ht="15.75" customHeight="1">
      <c r="A164" s="38">
        <v>45992.0</v>
      </c>
      <c r="B164" s="7" t="s">
        <v>8</v>
      </c>
      <c r="C164" s="7">
        <v>8000.0</v>
      </c>
    </row>
    <row r="165" ht="15.75" customHeight="1">
      <c r="A165" s="38">
        <v>45992.0</v>
      </c>
      <c r="B165" s="7" t="s">
        <v>44</v>
      </c>
      <c r="C165" s="7">
        <v>1000.0</v>
      </c>
    </row>
    <row r="166" ht="15.75" customHeight="1">
      <c r="A166" s="38">
        <v>45992.0</v>
      </c>
      <c r="B166" s="7" t="s">
        <v>53</v>
      </c>
      <c r="C166" s="7">
        <v>500.0</v>
      </c>
    </row>
    <row r="167" ht="15.75" customHeight="1">
      <c r="A167" s="38">
        <v>45992.0</v>
      </c>
      <c r="B167" s="7" t="s">
        <v>54</v>
      </c>
      <c r="C167" s="7">
        <v>1248.0</v>
      </c>
    </row>
    <row r="168" ht="15.75" customHeight="1">
      <c r="A168" s="38">
        <v>45992.0</v>
      </c>
      <c r="B168" s="7" t="s">
        <v>55</v>
      </c>
      <c r="C168" s="7">
        <v>1498.0</v>
      </c>
    </row>
    <row r="169" ht="15.75" customHeight="1">
      <c r="A169" s="38">
        <v>45992.0</v>
      </c>
      <c r="B169" s="3" t="s">
        <v>17</v>
      </c>
      <c r="C169" s="7">
        <v>2500.0</v>
      </c>
    </row>
    <row r="170" ht="15.75" customHeight="1">
      <c r="A170" s="38">
        <v>45992.0</v>
      </c>
      <c r="B170" s="3" t="s">
        <v>56</v>
      </c>
      <c r="C170" s="7">
        <f>1316+1420</f>
        <v>2736</v>
      </c>
    </row>
    <row r="171" ht="15.75" customHeight="1">
      <c r="A171" s="38">
        <v>45992.0</v>
      </c>
      <c r="B171" s="3" t="s">
        <v>11</v>
      </c>
      <c r="C171" s="9">
        <v>3785.0</v>
      </c>
    </row>
    <row r="172" ht="15.75" customHeight="1">
      <c r="A172" s="38">
        <v>45992.0</v>
      </c>
      <c r="B172" s="3" t="s">
        <v>58</v>
      </c>
      <c r="C172" s="7">
        <v>320.0</v>
      </c>
    </row>
    <row r="173" ht="15.75" customHeight="1">
      <c r="A173" s="35">
        <v>45658.0</v>
      </c>
      <c r="B173" s="7" t="s">
        <v>17</v>
      </c>
      <c r="C173" s="9">
        <v>500.0</v>
      </c>
    </row>
    <row r="174" ht="15.75" customHeight="1">
      <c r="A174" s="35">
        <v>45444.0</v>
      </c>
      <c r="B174" s="9" t="s">
        <v>17</v>
      </c>
      <c r="C174" s="9">
        <v>500.0</v>
      </c>
    </row>
    <row r="175" ht="15.75" customHeight="1">
      <c r="A175" s="35"/>
    </row>
    <row r="176" ht="15.75" customHeight="1">
      <c r="A176" s="35"/>
    </row>
    <row r="177" ht="15.75" customHeight="1">
      <c r="A177" s="35"/>
    </row>
    <row r="178" ht="15.75" customHeight="1">
      <c r="A178" s="35"/>
    </row>
    <row r="179" ht="15.75" customHeight="1">
      <c r="A179" s="35"/>
    </row>
    <row r="180" ht="15.75" customHeight="1">
      <c r="A180" s="35"/>
    </row>
    <row r="181" ht="15.75" customHeight="1">
      <c r="A181" s="35"/>
    </row>
    <row r="182" ht="15.75" customHeight="1">
      <c r="A182" s="35"/>
    </row>
    <row r="183" ht="15.75" customHeight="1">
      <c r="A183" s="35"/>
    </row>
    <row r="184" ht="15.75" customHeight="1">
      <c r="A184" s="35"/>
    </row>
    <row r="185" ht="15.75" customHeight="1">
      <c r="A185" s="35"/>
    </row>
    <row r="186" ht="15.75" customHeight="1">
      <c r="A186" s="35"/>
    </row>
    <row r="187" ht="15.75" customHeight="1">
      <c r="A187" s="35"/>
    </row>
    <row r="188" ht="15.75" customHeight="1">
      <c r="A188" s="35"/>
    </row>
    <row r="189" ht="15.75" customHeight="1">
      <c r="A189" s="35"/>
    </row>
    <row r="190" ht="15.75" customHeight="1">
      <c r="A190" s="35"/>
    </row>
    <row r="191" ht="15.75" customHeight="1">
      <c r="A191" s="35"/>
    </row>
    <row r="192" ht="15.75" customHeight="1">
      <c r="A192" s="35"/>
    </row>
    <row r="193" ht="15.75" customHeight="1">
      <c r="A193" s="35"/>
    </row>
    <row r="194" ht="15.75" customHeight="1">
      <c r="A194" s="35"/>
    </row>
    <row r="195" ht="15.75" customHeight="1">
      <c r="A195" s="35"/>
    </row>
    <row r="196" ht="15.75" customHeight="1">
      <c r="A196" s="35"/>
    </row>
    <row r="197" ht="15.75" customHeight="1">
      <c r="A197" s="35"/>
    </row>
    <row r="198" ht="15.75" customHeight="1">
      <c r="A198" s="35"/>
    </row>
    <row r="199" ht="15.75" customHeight="1">
      <c r="A199" s="35"/>
    </row>
    <row r="200" ht="15.75" customHeight="1">
      <c r="A200" s="35"/>
    </row>
    <row r="201" ht="15.75" customHeight="1">
      <c r="A201" s="35"/>
    </row>
    <row r="202" ht="15.75" customHeight="1">
      <c r="A202" s="35"/>
    </row>
    <row r="203" ht="15.75" customHeight="1">
      <c r="A203" s="35"/>
    </row>
    <row r="204" ht="15.75" customHeight="1">
      <c r="A204" s="35"/>
    </row>
    <row r="205" ht="15.75" customHeight="1">
      <c r="A205" s="35"/>
    </row>
    <row r="206" ht="15.75" customHeight="1">
      <c r="A206" s="35"/>
    </row>
    <row r="207" ht="15.75" customHeight="1">
      <c r="A207" s="35"/>
    </row>
    <row r="208" ht="15.75" customHeight="1">
      <c r="A208" s="35"/>
    </row>
    <row r="209" ht="15.75" customHeight="1">
      <c r="A209" s="35"/>
    </row>
    <row r="210" ht="15.75" customHeight="1">
      <c r="A210" s="35"/>
    </row>
    <row r="211" ht="15.75" customHeight="1">
      <c r="A211" s="35"/>
    </row>
    <row r="212" ht="15.75" customHeight="1">
      <c r="A212" s="35"/>
    </row>
    <row r="213" ht="15.75" customHeight="1">
      <c r="A213" s="35"/>
    </row>
    <row r="214" ht="15.75" customHeight="1">
      <c r="A214" s="35"/>
    </row>
    <row r="215" ht="15.75" customHeight="1">
      <c r="A215" s="35"/>
    </row>
    <row r="216" ht="15.75" customHeight="1">
      <c r="A216" s="35"/>
    </row>
    <row r="217" ht="15.75" customHeight="1">
      <c r="A217" s="35"/>
    </row>
    <row r="218" ht="15.75" customHeight="1">
      <c r="A218" s="35"/>
    </row>
    <row r="219" ht="15.75" customHeight="1">
      <c r="A219" s="35"/>
    </row>
    <row r="220" ht="15.75" customHeight="1">
      <c r="A220" s="35"/>
    </row>
    <row r="221" ht="15.75" customHeight="1">
      <c r="A221" s="35"/>
    </row>
    <row r="222" ht="15.75" customHeight="1">
      <c r="A222" s="35"/>
    </row>
    <row r="223" ht="15.75" customHeight="1">
      <c r="A223" s="35"/>
    </row>
    <row r="224" ht="15.75" customHeight="1">
      <c r="A224" s="35"/>
    </row>
    <row r="225" ht="15.75" customHeight="1">
      <c r="A225" s="35"/>
    </row>
    <row r="226" ht="15.75" customHeight="1">
      <c r="A226" s="35"/>
    </row>
    <row r="227" ht="15.75" customHeight="1">
      <c r="A227" s="35"/>
    </row>
    <row r="228" ht="15.75" customHeight="1">
      <c r="A228" s="35"/>
    </row>
    <row r="229" ht="15.75" customHeight="1">
      <c r="A229" s="35"/>
    </row>
    <row r="230" ht="15.75" customHeight="1">
      <c r="A230" s="35"/>
    </row>
    <row r="231" ht="15.75" customHeight="1">
      <c r="A231" s="35"/>
    </row>
    <row r="232" ht="15.75" customHeight="1">
      <c r="A232" s="35"/>
    </row>
    <row r="233" ht="15.75" customHeight="1">
      <c r="A233" s="35"/>
    </row>
    <row r="234" ht="15.75" customHeight="1">
      <c r="A234" s="35"/>
    </row>
    <row r="235" ht="15.75" customHeight="1">
      <c r="A235" s="35"/>
    </row>
    <row r="236" ht="15.75" customHeight="1">
      <c r="A236" s="35"/>
    </row>
    <row r="237" ht="15.75" customHeight="1">
      <c r="A237" s="35"/>
    </row>
    <row r="238" ht="15.75" customHeight="1">
      <c r="A238" s="35"/>
    </row>
    <row r="239" ht="15.75" customHeight="1">
      <c r="A239" s="35"/>
    </row>
    <row r="240" ht="15.75" customHeight="1">
      <c r="A240" s="35"/>
    </row>
    <row r="241" ht="15.75" customHeight="1">
      <c r="A241" s="35"/>
    </row>
    <row r="242" ht="15.75" customHeight="1">
      <c r="A242" s="35"/>
    </row>
    <row r="243" ht="15.75" customHeight="1">
      <c r="A243" s="35"/>
    </row>
    <row r="244" ht="15.75" customHeight="1">
      <c r="A244" s="35"/>
    </row>
    <row r="245" ht="15.75" customHeight="1">
      <c r="A245" s="35"/>
    </row>
    <row r="246" ht="15.75" customHeight="1">
      <c r="A246" s="35"/>
    </row>
    <row r="247" ht="15.75" customHeight="1">
      <c r="A247" s="35"/>
    </row>
    <row r="248" ht="15.75" customHeight="1">
      <c r="A248" s="35"/>
    </row>
    <row r="249" ht="15.75" customHeight="1">
      <c r="A249" s="35"/>
    </row>
    <row r="250" ht="15.75" customHeight="1">
      <c r="A250" s="35"/>
    </row>
    <row r="251" ht="15.75" customHeight="1">
      <c r="A251" s="35"/>
    </row>
    <row r="252" ht="15.75" customHeight="1">
      <c r="A252" s="35"/>
    </row>
    <row r="253" ht="15.75" customHeight="1">
      <c r="A253" s="35"/>
    </row>
    <row r="254" ht="15.75" customHeight="1">
      <c r="A254" s="35"/>
    </row>
    <row r="255" ht="15.75" customHeight="1">
      <c r="A255" s="35"/>
    </row>
    <row r="256" ht="15.75" customHeight="1">
      <c r="A256" s="35"/>
    </row>
    <row r="257" ht="15.75" customHeight="1">
      <c r="A257" s="35"/>
    </row>
    <row r="258" ht="15.75" customHeight="1">
      <c r="A258" s="35"/>
    </row>
    <row r="259" ht="15.75" customHeight="1">
      <c r="A259" s="35"/>
    </row>
    <row r="260" ht="15.75" customHeight="1">
      <c r="A260" s="35"/>
    </row>
    <row r="261" ht="15.75" customHeight="1">
      <c r="A261" s="35"/>
    </row>
    <row r="262" ht="15.75" customHeight="1">
      <c r="A262" s="35"/>
    </row>
    <row r="263" ht="15.75" customHeight="1">
      <c r="A263" s="35"/>
    </row>
    <row r="264" ht="15.75" customHeight="1">
      <c r="A264" s="35"/>
    </row>
    <row r="265" ht="15.75" customHeight="1">
      <c r="A265" s="35"/>
    </row>
    <row r="266" ht="15.75" customHeight="1">
      <c r="A266" s="35"/>
    </row>
    <row r="267" ht="15.75" customHeight="1">
      <c r="A267" s="35"/>
    </row>
    <row r="268" ht="15.75" customHeight="1">
      <c r="A268" s="35"/>
    </row>
    <row r="269" ht="15.75" customHeight="1">
      <c r="A269" s="35"/>
    </row>
    <row r="270" ht="15.75" customHeight="1">
      <c r="A270" s="35"/>
    </row>
    <row r="271" ht="15.75" customHeight="1">
      <c r="A271" s="35"/>
    </row>
    <row r="272" ht="15.75" customHeight="1">
      <c r="A272" s="35"/>
    </row>
    <row r="273" ht="15.75" customHeight="1">
      <c r="A273" s="35"/>
    </row>
    <row r="274" ht="15.75" customHeight="1">
      <c r="A274" s="35"/>
    </row>
    <row r="275" ht="15.75" customHeight="1">
      <c r="A275" s="35"/>
    </row>
    <row r="276" ht="15.75" customHeight="1">
      <c r="A276" s="35"/>
    </row>
    <row r="277" ht="15.75" customHeight="1">
      <c r="A277" s="35"/>
    </row>
    <row r="278" ht="15.75" customHeight="1">
      <c r="A278" s="35"/>
    </row>
    <row r="279" ht="15.75" customHeight="1">
      <c r="A279" s="35"/>
    </row>
    <row r="280" ht="15.75" customHeight="1">
      <c r="A280" s="35"/>
    </row>
    <row r="281" ht="15.75" customHeight="1">
      <c r="A281" s="35"/>
    </row>
    <row r="282" ht="15.75" customHeight="1">
      <c r="A282" s="35"/>
    </row>
    <row r="283" ht="15.75" customHeight="1">
      <c r="A283" s="35"/>
    </row>
    <row r="284" ht="15.75" customHeight="1">
      <c r="A284" s="35"/>
    </row>
    <row r="285" ht="15.75" customHeight="1">
      <c r="A285" s="35"/>
    </row>
    <row r="286" ht="15.75" customHeight="1">
      <c r="A286" s="35"/>
    </row>
    <row r="287" ht="15.75" customHeight="1">
      <c r="A287" s="35"/>
    </row>
    <row r="288" ht="15.75" customHeight="1">
      <c r="A288" s="35"/>
    </row>
    <row r="289" ht="15.75" customHeight="1">
      <c r="A289" s="35"/>
    </row>
    <row r="290" ht="15.75" customHeight="1">
      <c r="A290" s="35"/>
    </row>
    <row r="291" ht="15.75" customHeight="1">
      <c r="A291" s="35"/>
    </row>
    <row r="292" ht="15.75" customHeight="1">
      <c r="A292" s="35"/>
    </row>
    <row r="293" ht="15.75" customHeight="1">
      <c r="A293" s="35"/>
    </row>
    <row r="294" ht="15.75" customHeight="1">
      <c r="A294" s="35"/>
    </row>
    <row r="295" ht="15.75" customHeight="1">
      <c r="A295" s="35"/>
    </row>
    <row r="296" ht="15.75" customHeight="1">
      <c r="A296" s="35"/>
    </row>
    <row r="297" ht="15.75" customHeight="1">
      <c r="A297" s="35"/>
    </row>
    <row r="298" ht="15.75" customHeight="1">
      <c r="A298" s="35"/>
    </row>
    <row r="299" ht="15.75" customHeight="1">
      <c r="A299" s="35"/>
    </row>
    <row r="300" ht="15.75" customHeight="1">
      <c r="A300" s="35"/>
    </row>
    <row r="301" ht="15.75" customHeight="1">
      <c r="A301" s="35"/>
    </row>
    <row r="302" ht="15.75" customHeight="1">
      <c r="A302" s="35"/>
    </row>
    <row r="303" ht="15.75" customHeight="1">
      <c r="A303" s="35"/>
    </row>
    <row r="304" ht="15.75" customHeight="1">
      <c r="A304" s="35"/>
    </row>
    <row r="305" ht="15.75" customHeight="1">
      <c r="A305" s="35"/>
    </row>
    <row r="306" ht="15.75" customHeight="1">
      <c r="A306" s="35"/>
    </row>
    <row r="307" ht="15.75" customHeight="1">
      <c r="A307" s="35"/>
    </row>
    <row r="308" ht="15.75" customHeight="1">
      <c r="A308" s="35"/>
    </row>
    <row r="309" ht="15.75" customHeight="1">
      <c r="A309" s="35"/>
    </row>
    <row r="310" ht="15.75" customHeight="1">
      <c r="A310" s="35"/>
    </row>
    <row r="311" ht="15.75" customHeight="1">
      <c r="A311" s="35"/>
    </row>
    <row r="312" ht="15.75" customHeight="1">
      <c r="A312" s="35"/>
    </row>
    <row r="313" ht="15.75" customHeight="1">
      <c r="A313" s="35"/>
    </row>
    <row r="314" ht="15.75" customHeight="1">
      <c r="A314" s="35"/>
    </row>
    <row r="315" ht="15.75" customHeight="1">
      <c r="A315" s="35"/>
    </row>
    <row r="316" ht="15.75" customHeight="1">
      <c r="A316" s="35"/>
    </row>
    <row r="317" ht="15.75" customHeight="1">
      <c r="A317" s="35"/>
    </row>
    <row r="318" ht="15.75" customHeight="1">
      <c r="A318" s="35"/>
    </row>
    <row r="319" ht="15.75" customHeight="1">
      <c r="A319" s="35"/>
    </row>
    <row r="320" ht="15.75" customHeight="1">
      <c r="A320" s="35"/>
    </row>
    <row r="321" ht="15.75" customHeight="1">
      <c r="A321" s="35"/>
    </row>
    <row r="322" ht="15.75" customHeight="1">
      <c r="A322" s="35"/>
    </row>
    <row r="323" ht="15.75" customHeight="1">
      <c r="A323" s="35"/>
    </row>
    <row r="324" ht="15.75" customHeight="1">
      <c r="A324" s="35"/>
    </row>
    <row r="325" ht="15.75" customHeight="1">
      <c r="A325" s="35"/>
    </row>
    <row r="326" ht="15.75" customHeight="1">
      <c r="A326" s="35"/>
    </row>
    <row r="327" ht="15.75" customHeight="1">
      <c r="A327" s="35"/>
    </row>
    <row r="328" ht="15.75" customHeight="1">
      <c r="A328" s="35"/>
    </row>
    <row r="329" ht="15.75" customHeight="1">
      <c r="A329" s="35"/>
    </row>
    <row r="330" ht="15.75" customHeight="1">
      <c r="A330" s="35"/>
    </row>
    <row r="331" ht="15.75" customHeight="1">
      <c r="A331" s="35"/>
    </row>
    <row r="332" ht="15.75" customHeight="1">
      <c r="A332" s="35"/>
    </row>
    <row r="333" ht="15.75" customHeight="1">
      <c r="A333" s="35"/>
    </row>
    <row r="334" ht="15.75" customHeight="1">
      <c r="A334" s="35"/>
    </row>
    <row r="335" ht="15.75" customHeight="1">
      <c r="A335" s="35"/>
    </row>
    <row r="336" ht="15.75" customHeight="1">
      <c r="A336" s="35"/>
    </row>
    <row r="337" ht="15.75" customHeight="1">
      <c r="A337" s="35"/>
    </row>
    <row r="338" ht="15.75" customHeight="1">
      <c r="A338" s="35"/>
    </row>
    <row r="339" ht="15.75" customHeight="1">
      <c r="A339" s="35"/>
    </row>
    <row r="340" ht="15.75" customHeight="1">
      <c r="A340" s="35"/>
    </row>
    <row r="341" ht="15.75" customHeight="1">
      <c r="A341" s="35"/>
    </row>
    <row r="342" ht="15.75" customHeight="1">
      <c r="A342" s="35"/>
    </row>
    <row r="343" ht="15.75" customHeight="1">
      <c r="A343" s="35"/>
    </row>
    <row r="344" ht="15.75" customHeight="1">
      <c r="A344" s="35"/>
    </row>
    <row r="345" ht="15.75" customHeight="1">
      <c r="A345" s="35"/>
    </row>
    <row r="346" ht="15.75" customHeight="1">
      <c r="A346" s="35"/>
    </row>
    <row r="347" ht="15.75" customHeight="1">
      <c r="A347" s="35"/>
    </row>
    <row r="348" ht="15.75" customHeight="1">
      <c r="A348" s="35"/>
    </row>
    <row r="349" ht="15.75" customHeight="1">
      <c r="A349" s="35"/>
    </row>
    <row r="350" ht="15.75" customHeight="1">
      <c r="A350" s="35"/>
    </row>
    <row r="351" ht="15.75" customHeight="1">
      <c r="A351" s="35"/>
    </row>
    <row r="352" ht="15.75" customHeight="1">
      <c r="A352" s="35"/>
    </row>
    <row r="353" ht="15.75" customHeight="1">
      <c r="A353" s="35"/>
    </row>
    <row r="354" ht="15.75" customHeight="1">
      <c r="A354" s="35"/>
    </row>
    <row r="355" ht="15.75" customHeight="1">
      <c r="A355" s="35"/>
    </row>
    <row r="356" ht="15.75" customHeight="1">
      <c r="A356" s="35"/>
    </row>
    <row r="357" ht="15.75" customHeight="1">
      <c r="A357" s="35"/>
    </row>
    <row r="358" ht="15.75" customHeight="1">
      <c r="A358" s="35"/>
    </row>
    <row r="359" ht="15.75" customHeight="1">
      <c r="A359" s="35"/>
    </row>
    <row r="360" ht="15.75" customHeight="1">
      <c r="A360" s="35"/>
    </row>
    <row r="361" ht="15.75" customHeight="1">
      <c r="A361" s="35"/>
    </row>
    <row r="362" ht="15.75" customHeight="1">
      <c r="A362" s="35"/>
    </row>
    <row r="363" ht="15.75" customHeight="1">
      <c r="A363" s="35"/>
    </row>
    <row r="364" ht="15.75" customHeight="1">
      <c r="A364" s="35"/>
    </row>
    <row r="365" ht="15.75" customHeight="1">
      <c r="A365" s="35"/>
    </row>
    <row r="366" ht="15.75" customHeight="1">
      <c r="A366" s="35"/>
    </row>
    <row r="367" ht="15.75" customHeight="1">
      <c r="A367" s="35"/>
    </row>
    <row r="368" ht="15.75" customHeight="1">
      <c r="A368" s="35"/>
    </row>
    <row r="369" ht="15.75" customHeight="1">
      <c r="A369" s="35"/>
    </row>
    <row r="370" ht="15.75" customHeight="1">
      <c r="A370" s="35"/>
    </row>
    <row r="371" ht="15.75" customHeight="1">
      <c r="A371" s="35"/>
    </row>
    <row r="372" ht="15.75" customHeight="1">
      <c r="A372" s="35"/>
    </row>
    <row r="373" ht="15.75" customHeight="1">
      <c r="A373" s="35"/>
    </row>
    <row r="374" ht="15.75" customHeight="1">
      <c r="A374" s="35"/>
    </row>
    <row r="375" ht="15.75" customHeight="1">
      <c r="A375" s="35"/>
    </row>
    <row r="376" ht="15.75" customHeight="1">
      <c r="A376" s="35"/>
    </row>
    <row r="377" ht="15.75" customHeight="1">
      <c r="A377" s="35"/>
    </row>
    <row r="378" ht="15.75" customHeight="1">
      <c r="A378" s="35"/>
    </row>
    <row r="379" ht="15.75" customHeight="1">
      <c r="A379" s="35"/>
    </row>
    <row r="380" ht="15.75" customHeight="1">
      <c r="A380" s="35"/>
    </row>
    <row r="381" ht="15.75" customHeight="1">
      <c r="A381" s="35"/>
    </row>
    <row r="382" ht="15.75" customHeight="1">
      <c r="A382" s="35"/>
    </row>
    <row r="383" ht="15.75" customHeight="1">
      <c r="A383" s="35"/>
    </row>
    <row r="384" ht="15.75" customHeight="1">
      <c r="A384" s="35"/>
    </row>
    <row r="385" ht="15.75" customHeight="1">
      <c r="A385" s="35"/>
    </row>
    <row r="386" ht="15.75" customHeight="1">
      <c r="A386" s="35"/>
    </row>
    <row r="387" ht="15.75" customHeight="1">
      <c r="A387" s="35"/>
    </row>
    <row r="388" ht="15.75" customHeight="1">
      <c r="A388" s="35"/>
    </row>
    <row r="389" ht="15.75" customHeight="1">
      <c r="A389" s="35"/>
    </row>
    <row r="390" ht="15.75" customHeight="1">
      <c r="A390" s="35"/>
    </row>
    <row r="391" ht="15.75" customHeight="1">
      <c r="A391" s="35"/>
    </row>
    <row r="392" ht="15.75" customHeight="1">
      <c r="A392" s="35"/>
    </row>
    <row r="393" ht="15.75" customHeight="1">
      <c r="A393" s="35"/>
    </row>
    <row r="394" ht="15.75" customHeight="1">
      <c r="A394" s="35"/>
    </row>
    <row r="395" ht="15.75" customHeight="1">
      <c r="A395" s="35"/>
    </row>
    <row r="396" ht="15.75" customHeight="1">
      <c r="A396" s="35"/>
    </row>
    <row r="397" ht="15.75" customHeight="1">
      <c r="A397" s="35"/>
    </row>
    <row r="398" ht="15.75" customHeight="1">
      <c r="A398" s="35"/>
    </row>
    <row r="399" ht="15.75" customHeight="1">
      <c r="A399" s="35"/>
    </row>
    <row r="400" ht="15.75" customHeight="1">
      <c r="A400" s="35"/>
    </row>
    <row r="401" ht="15.75" customHeight="1">
      <c r="A401" s="35"/>
    </row>
    <row r="402" ht="15.75" customHeight="1">
      <c r="A402" s="35"/>
    </row>
    <row r="403" ht="15.75" customHeight="1">
      <c r="A403" s="35"/>
    </row>
    <row r="404" ht="15.75" customHeight="1">
      <c r="A404" s="35"/>
    </row>
    <row r="405" ht="15.75" customHeight="1">
      <c r="A405" s="35"/>
    </row>
    <row r="406" ht="15.75" customHeight="1">
      <c r="A406" s="35"/>
    </row>
    <row r="407" ht="15.75" customHeight="1">
      <c r="A407" s="35"/>
    </row>
    <row r="408" ht="15.75" customHeight="1">
      <c r="A408" s="35"/>
    </row>
    <row r="409" ht="15.75" customHeight="1">
      <c r="A409" s="35"/>
    </row>
    <row r="410" ht="15.75" customHeight="1">
      <c r="A410" s="35"/>
    </row>
    <row r="411" ht="15.75" customHeight="1">
      <c r="A411" s="35"/>
    </row>
    <row r="412" ht="15.75" customHeight="1">
      <c r="A412" s="35"/>
    </row>
    <row r="413" ht="15.75" customHeight="1">
      <c r="A413" s="35"/>
    </row>
    <row r="414" ht="15.75" customHeight="1">
      <c r="A414" s="35"/>
    </row>
    <row r="415" ht="15.75" customHeight="1">
      <c r="A415" s="35"/>
    </row>
    <row r="416" ht="15.75" customHeight="1">
      <c r="A416" s="35"/>
    </row>
    <row r="417" ht="15.75" customHeight="1">
      <c r="A417" s="35"/>
    </row>
    <row r="418" ht="15.75" customHeight="1">
      <c r="A418" s="35"/>
    </row>
    <row r="419" ht="15.75" customHeight="1">
      <c r="A419" s="35"/>
    </row>
    <row r="420" ht="15.75" customHeight="1">
      <c r="A420" s="35"/>
    </row>
    <row r="421" ht="15.75" customHeight="1">
      <c r="A421" s="35"/>
    </row>
    <row r="422" ht="15.75" customHeight="1">
      <c r="A422" s="35"/>
    </row>
    <row r="423" ht="15.75" customHeight="1">
      <c r="A423" s="35"/>
    </row>
    <row r="424" ht="15.75" customHeight="1">
      <c r="A424" s="35"/>
    </row>
    <row r="425" ht="15.75" customHeight="1">
      <c r="A425" s="35"/>
    </row>
    <row r="426" ht="15.75" customHeight="1">
      <c r="A426" s="35"/>
    </row>
    <row r="427" ht="15.75" customHeight="1">
      <c r="A427" s="35"/>
    </row>
    <row r="428" ht="15.75" customHeight="1">
      <c r="A428" s="35"/>
    </row>
    <row r="429" ht="15.75" customHeight="1">
      <c r="A429" s="35"/>
    </row>
    <row r="430" ht="15.75" customHeight="1">
      <c r="A430" s="35"/>
    </row>
    <row r="431" ht="15.75" customHeight="1">
      <c r="A431" s="35"/>
    </row>
    <row r="432" ht="15.75" customHeight="1">
      <c r="A432" s="35"/>
    </row>
    <row r="433" ht="15.75" customHeight="1">
      <c r="A433" s="35"/>
    </row>
    <row r="434" ht="15.75" customHeight="1">
      <c r="A434" s="35"/>
    </row>
    <row r="435" ht="15.75" customHeight="1">
      <c r="A435" s="35"/>
    </row>
    <row r="436" ht="15.75" customHeight="1">
      <c r="A436" s="35"/>
    </row>
    <row r="437" ht="15.75" customHeight="1">
      <c r="A437" s="35"/>
    </row>
    <row r="438" ht="15.75" customHeight="1">
      <c r="A438" s="35"/>
    </row>
    <row r="439" ht="15.75" customHeight="1">
      <c r="A439" s="35"/>
    </row>
    <row r="440" ht="15.75" customHeight="1">
      <c r="A440" s="35"/>
    </row>
    <row r="441" ht="15.75" customHeight="1">
      <c r="A441" s="35"/>
    </row>
    <row r="442" ht="15.75" customHeight="1">
      <c r="A442" s="35"/>
    </row>
    <row r="443" ht="15.75" customHeight="1">
      <c r="A443" s="35"/>
    </row>
    <row r="444" ht="15.75" customHeight="1">
      <c r="A444" s="35"/>
    </row>
    <row r="445" ht="15.75" customHeight="1">
      <c r="A445" s="35"/>
    </row>
    <row r="446" ht="15.75" customHeight="1">
      <c r="A446" s="35"/>
    </row>
    <row r="447" ht="15.75" customHeight="1">
      <c r="A447" s="35"/>
    </row>
    <row r="448" ht="15.75" customHeight="1">
      <c r="A448" s="35"/>
    </row>
    <row r="449" ht="15.75" customHeight="1">
      <c r="A449" s="35"/>
    </row>
    <row r="450" ht="15.75" customHeight="1">
      <c r="A450" s="35"/>
    </row>
    <row r="451" ht="15.75" customHeight="1">
      <c r="A451" s="35"/>
    </row>
    <row r="452" ht="15.75" customHeight="1">
      <c r="A452" s="35"/>
    </row>
    <row r="453" ht="15.75" customHeight="1">
      <c r="A453" s="35"/>
    </row>
    <row r="454" ht="15.75" customHeight="1">
      <c r="A454" s="35"/>
    </row>
    <row r="455" ht="15.75" customHeight="1">
      <c r="A455" s="35"/>
    </row>
    <row r="456" ht="15.75" customHeight="1">
      <c r="A456" s="35"/>
    </row>
    <row r="457" ht="15.75" customHeight="1">
      <c r="A457" s="35"/>
    </row>
    <row r="458" ht="15.75" customHeight="1">
      <c r="A458" s="35"/>
    </row>
    <row r="459" ht="15.75" customHeight="1">
      <c r="A459" s="35"/>
    </row>
    <row r="460" ht="15.75" customHeight="1">
      <c r="A460" s="35"/>
    </row>
    <row r="461" ht="15.75" customHeight="1">
      <c r="A461" s="35"/>
    </row>
    <row r="462" ht="15.75" customHeight="1">
      <c r="A462" s="35"/>
    </row>
    <row r="463" ht="15.75" customHeight="1">
      <c r="A463" s="35"/>
    </row>
    <row r="464" ht="15.75" customHeight="1">
      <c r="A464" s="35"/>
    </row>
    <row r="465" ht="15.75" customHeight="1">
      <c r="A465" s="35"/>
    </row>
    <row r="466" ht="15.75" customHeight="1">
      <c r="A466" s="35"/>
    </row>
    <row r="467" ht="15.75" customHeight="1">
      <c r="A467" s="35"/>
    </row>
    <row r="468" ht="15.75" customHeight="1">
      <c r="A468" s="35"/>
    </row>
    <row r="469" ht="15.75" customHeight="1">
      <c r="A469" s="35"/>
    </row>
    <row r="470" ht="15.75" customHeight="1">
      <c r="A470" s="35"/>
    </row>
    <row r="471" ht="15.75" customHeight="1">
      <c r="A471" s="35"/>
    </row>
    <row r="472" ht="15.75" customHeight="1">
      <c r="A472" s="35"/>
    </row>
    <row r="473" ht="15.75" customHeight="1">
      <c r="A473" s="35"/>
    </row>
    <row r="474" ht="15.75" customHeight="1">
      <c r="A474" s="35"/>
    </row>
    <row r="475" ht="15.75" customHeight="1">
      <c r="A475" s="35"/>
    </row>
    <row r="476" ht="15.75" customHeight="1">
      <c r="A476" s="35"/>
    </row>
    <row r="477" ht="15.75" customHeight="1">
      <c r="A477" s="35"/>
    </row>
    <row r="478" ht="15.75" customHeight="1">
      <c r="A478" s="35"/>
    </row>
    <row r="479" ht="15.75" customHeight="1">
      <c r="A479" s="35"/>
    </row>
    <row r="480" ht="15.75" customHeight="1">
      <c r="A480" s="35"/>
    </row>
    <row r="481" ht="15.75" customHeight="1">
      <c r="A481" s="35"/>
    </row>
    <row r="482" ht="15.75" customHeight="1">
      <c r="A482" s="35"/>
    </row>
    <row r="483" ht="15.75" customHeight="1">
      <c r="A483" s="35"/>
    </row>
    <row r="484" ht="15.75" customHeight="1">
      <c r="A484" s="35"/>
    </row>
    <row r="485" ht="15.75" customHeight="1">
      <c r="A485" s="35"/>
    </row>
    <row r="486" ht="15.75" customHeight="1">
      <c r="A486" s="35"/>
    </row>
    <row r="487" ht="15.75" customHeight="1">
      <c r="A487" s="35"/>
    </row>
    <row r="488" ht="15.75" customHeight="1">
      <c r="A488" s="35"/>
    </row>
    <row r="489" ht="15.75" customHeight="1">
      <c r="A489" s="35"/>
    </row>
    <row r="490" ht="15.75" customHeight="1">
      <c r="A490" s="35"/>
    </row>
    <row r="491" ht="15.75" customHeight="1">
      <c r="A491" s="35"/>
    </row>
    <row r="492" ht="15.75" customHeight="1">
      <c r="A492" s="35"/>
    </row>
    <row r="493" ht="15.75" customHeight="1">
      <c r="A493" s="35"/>
    </row>
    <row r="494" ht="15.75" customHeight="1">
      <c r="A494" s="35"/>
    </row>
    <row r="495" ht="15.75" customHeight="1">
      <c r="A495" s="35"/>
    </row>
    <row r="496" ht="15.75" customHeight="1">
      <c r="A496" s="35"/>
    </row>
    <row r="497" ht="15.75" customHeight="1">
      <c r="A497" s="35"/>
    </row>
    <row r="498" ht="15.75" customHeight="1">
      <c r="A498" s="35"/>
    </row>
    <row r="499" ht="15.75" customHeight="1">
      <c r="A499" s="35"/>
    </row>
    <row r="500" ht="15.75" customHeight="1">
      <c r="A500" s="35"/>
    </row>
    <row r="501" ht="15.75" customHeight="1">
      <c r="A501" s="35"/>
    </row>
    <row r="502" ht="15.75" customHeight="1">
      <c r="A502" s="35"/>
    </row>
    <row r="503" ht="15.75" customHeight="1">
      <c r="A503" s="35"/>
    </row>
    <row r="504" ht="15.75" customHeight="1">
      <c r="A504" s="35"/>
    </row>
    <row r="505" ht="15.75" customHeight="1">
      <c r="A505" s="35"/>
    </row>
    <row r="506" ht="15.75" customHeight="1">
      <c r="A506" s="35"/>
    </row>
    <row r="507" ht="15.75" customHeight="1">
      <c r="A507" s="35"/>
    </row>
    <row r="508" ht="15.75" customHeight="1">
      <c r="A508" s="35"/>
    </row>
    <row r="509" ht="15.75" customHeight="1">
      <c r="A509" s="35"/>
    </row>
    <row r="510" ht="15.75" customHeight="1">
      <c r="A510" s="35"/>
    </row>
    <row r="511" ht="15.75" customHeight="1">
      <c r="A511" s="35"/>
    </row>
    <row r="512" ht="15.75" customHeight="1">
      <c r="A512" s="35"/>
    </row>
    <row r="513" ht="15.75" customHeight="1">
      <c r="A513" s="35"/>
    </row>
    <row r="514" ht="15.75" customHeight="1">
      <c r="A514" s="35"/>
    </row>
    <row r="515" ht="15.75" customHeight="1">
      <c r="A515" s="35"/>
    </row>
    <row r="516" ht="15.75" customHeight="1">
      <c r="A516" s="35"/>
    </row>
    <row r="517" ht="15.75" customHeight="1">
      <c r="A517" s="35"/>
    </row>
    <row r="518" ht="15.75" customHeight="1">
      <c r="A518" s="35"/>
    </row>
    <row r="519" ht="15.75" customHeight="1">
      <c r="A519" s="35"/>
    </row>
    <row r="520" ht="15.75" customHeight="1">
      <c r="A520" s="35"/>
    </row>
    <row r="521" ht="15.75" customHeight="1">
      <c r="A521" s="35"/>
    </row>
    <row r="522" ht="15.75" customHeight="1">
      <c r="A522" s="35"/>
    </row>
    <row r="523" ht="15.75" customHeight="1">
      <c r="A523" s="35"/>
    </row>
    <row r="524" ht="15.75" customHeight="1">
      <c r="A524" s="35"/>
    </row>
    <row r="525" ht="15.75" customHeight="1">
      <c r="A525" s="35"/>
    </row>
    <row r="526" ht="15.75" customHeight="1">
      <c r="A526" s="35"/>
    </row>
    <row r="527" ht="15.75" customHeight="1">
      <c r="A527" s="35"/>
    </row>
    <row r="528" ht="15.75" customHeight="1">
      <c r="A528" s="35"/>
    </row>
    <row r="529" ht="15.75" customHeight="1">
      <c r="A529" s="35"/>
    </row>
    <row r="530" ht="15.75" customHeight="1">
      <c r="A530" s="35"/>
    </row>
    <row r="531" ht="15.75" customHeight="1">
      <c r="A531" s="35"/>
    </row>
    <row r="532" ht="15.75" customHeight="1">
      <c r="A532" s="35"/>
    </row>
    <row r="533" ht="15.75" customHeight="1">
      <c r="A533" s="35"/>
    </row>
    <row r="534" ht="15.75" customHeight="1">
      <c r="A534" s="35"/>
    </row>
    <row r="535" ht="15.75" customHeight="1">
      <c r="A535" s="35"/>
    </row>
    <row r="536" ht="15.75" customHeight="1">
      <c r="A536" s="35"/>
    </row>
    <row r="537" ht="15.75" customHeight="1">
      <c r="A537" s="35"/>
    </row>
    <row r="538" ht="15.75" customHeight="1">
      <c r="A538" s="35"/>
    </row>
    <row r="539" ht="15.75" customHeight="1">
      <c r="A539" s="35"/>
    </row>
    <row r="540" ht="15.75" customHeight="1">
      <c r="A540" s="35"/>
    </row>
    <row r="541" ht="15.75" customHeight="1">
      <c r="A541" s="35"/>
    </row>
    <row r="542" ht="15.75" customHeight="1">
      <c r="A542" s="35"/>
    </row>
    <row r="543" ht="15.75" customHeight="1">
      <c r="A543" s="35"/>
    </row>
    <row r="544" ht="15.75" customHeight="1">
      <c r="A544" s="35"/>
    </row>
    <row r="545" ht="15.75" customHeight="1">
      <c r="A545" s="35"/>
    </row>
    <row r="546" ht="15.75" customHeight="1">
      <c r="A546" s="35"/>
    </row>
    <row r="547" ht="15.75" customHeight="1">
      <c r="A547" s="35"/>
    </row>
    <row r="548" ht="15.75" customHeight="1">
      <c r="A548" s="35"/>
    </row>
    <row r="549" ht="15.75" customHeight="1">
      <c r="A549" s="35"/>
    </row>
    <row r="550" ht="15.75" customHeight="1">
      <c r="A550" s="35"/>
    </row>
    <row r="551" ht="15.75" customHeight="1">
      <c r="A551" s="35"/>
    </row>
    <row r="552" ht="15.75" customHeight="1">
      <c r="A552" s="35"/>
    </row>
    <row r="553" ht="15.75" customHeight="1">
      <c r="A553" s="35"/>
    </row>
    <row r="554" ht="15.75" customHeight="1">
      <c r="A554" s="35"/>
    </row>
    <row r="555" ht="15.75" customHeight="1">
      <c r="A555" s="35"/>
    </row>
    <row r="556" ht="15.75" customHeight="1">
      <c r="A556" s="35"/>
    </row>
    <row r="557" ht="15.75" customHeight="1">
      <c r="A557" s="35"/>
    </row>
    <row r="558" ht="15.75" customHeight="1">
      <c r="A558" s="35"/>
    </row>
    <row r="559" ht="15.75" customHeight="1">
      <c r="A559" s="35"/>
    </row>
    <row r="560" ht="15.75" customHeight="1">
      <c r="A560" s="35"/>
    </row>
    <row r="561" ht="15.75" customHeight="1">
      <c r="A561" s="35"/>
    </row>
    <row r="562" ht="15.75" customHeight="1">
      <c r="A562" s="35"/>
    </row>
    <row r="563" ht="15.75" customHeight="1">
      <c r="A563" s="35"/>
    </row>
    <row r="564" ht="15.75" customHeight="1">
      <c r="A564" s="35"/>
    </row>
    <row r="565" ht="15.75" customHeight="1">
      <c r="A565" s="35"/>
    </row>
    <row r="566" ht="15.75" customHeight="1">
      <c r="A566" s="35"/>
    </row>
    <row r="567" ht="15.75" customHeight="1">
      <c r="A567" s="35"/>
    </row>
    <row r="568" ht="15.75" customHeight="1">
      <c r="A568" s="35"/>
    </row>
    <row r="569" ht="15.75" customHeight="1">
      <c r="A569" s="35"/>
    </row>
    <row r="570" ht="15.75" customHeight="1">
      <c r="A570" s="35"/>
    </row>
    <row r="571" ht="15.75" customHeight="1">
      <c r="A571" s="35"/>
    </row>
    <row r="572" ht="15.75" customHeight="1">
      <c r="A572" s="35"/>
    </row>
    <row r="573" ht="15.75" customHeight="1">
      <c r="A573" s="35"/>
    </row>
    <row r="574" ht="15.75" customHeight="1">
      <c r="A574" s="35"/>
    </row>
    <row r="575" ht="15.75" customHeight="1">
      <c r="A575" s="35"/>
    </row>
    <row r="576" ht="15.75" customHeight="1">
      <c r="A576" s="35"/>
    </row>
    <row r="577" ht="15.75" customHeight="1">
      <c r="A577" s="35"/>
    </row>
    <row r="578" ht="15.75" customHeight="1">
      <c r="A578" s="35"/>
    </row>
    <row r="579" ht="15.75" customHeight="1">
      <c r="A579" s="35"/>
    </row>
    <row r="580" ht="15.75" customHeight="1">
      <c r="A580" s="35"/>
    </row>
    <row r="581" ht="15.75" customHeight="1">
      <c r="A581" s="35"/>
    </row>
    <row r="582" ht="15.75" customHeight="1">
      <c r="A582" s="35"/>
    </row>
    <row r="583" ht="15.75" customHeight="1">
      <c r="A583" s="35"/>
    </row>
    <row r="584" ht="15.75" customHeight="1">
      <c r="A584" s="35"/>
    </row>
    <row r="585" ht="15.75" customHeight="1">
      <c r="A585" s="35"/>
    </row>
    <row r="586" ht="15.75" customHeight="1">
      <c r="A586" s="35"/>
    </row>
    <row r="587" ht="15.75" customHeight="1">
      <c r="A587" s="35"/>
    </row>
    <row r="588" ht="15.75" customHeight="1">
      <c r="A588" s="35"/>
    </row>
    <row r="589" ht="15.75" customHeight="1">
      <c r="A589" s="35"/>
    </row>
    <row r="590" ht="15.75" customHeight="1">
      <c r="A590" s="35"/>
    </row>
    <row r="591" ht="15.75" customHeight="1">
      <c r="A591" s="35"/>
    </row>
    <row r="592" ht="15.75" customHeight="1">
      <c r="A592" s="35"/>
    </row>
    <row r="593" ht="15.75" customHeight="1">
      <c r="A593" s="35"/>
    </row>
    <row r="594" ht="15.75" customHeight="1">
      <c r="A594" s="35"/>
    </row>
    <row r="595" ht="15.75" customHeight="1">
      <c r="A595" s="35"/>
    </row>
    <row r="596" ht="15.75" customHeight="1">
      <c r="A596" s="35"/>
    </row>
    <row r="597" ht="15.75" customHeight="1">
      <c r="A597" s="35"/>
    </row>
    <row r="598" ht="15.75" customHeight="1">
      <c r="A598" s="35"/>
    </row>
    <row r="599" ht="15.75" customHeight="1">
      <c r="A599" s="35"/>
    </row>
    <row r="600" ht="15.75" customHeight="1">
      <c r="A600" s="35"/>
    </row>
    <row r="601" ht="15.75" customHeight="1">
      <c r="A601" s="35"/>
    </row>
    <row r="602" ht="15.75" customHeight="1">
      <c r="A602" s="35"/>
    </row>
    <row r="603" ht="15.75" customHeight="1">
      <c r="A603" s="35"/>
    </row>
    <row r="604" ht="15.75" customHeight="1">
      <c r="A604" s="35"/>
    </row>
    <row r="605" ht="15.75" customHeight="1">
      <c r="A605" s="35"/>
    </row>
    <row r="606" ht="15.75" customHeight="1">
      <c r="A606" s="35"/>
    </row>
    <row r="607" ht="15.75" customHeight="1">
      <c r="A607" s="35"/>
    </row>
    <row r="608" ht="15.75" customHeight="1">
      <c r="A608" s="35"/>
    </row>
    <row r="609" ht="15.75" customHeight="1">
      <c r="A609" s="35"/>
    </row>
    <row r="610" ht="15.75" customHeight="1">
      <c r="A610" s="35"/>
    </row>
    <row r="611" ht="15.75" customHeight="1">
      <c r="A611" s="35"/>
    </row>
    <row r="612" ht="15.75" customHeight="1">
      <c r="A612" s="35"/>
    </row>
    <row r="613" ht="15.75" customHeight="1">
      <c r="A613" s="35"/>
    </row>
    <row r="614" ht="15.75" customHeight="1">
      <c r="A614" s="35"/>
    </row>
    <row r="615" ht="15.75" customHeight="1">
      <c r="A615" s="35"/>
    </row>
    <row r="616" ht="15.75" customHeight="1">
      <c r="A616" s="35"/>
    </row>
    <row r="617" ht="15.75" customHeight="1">
      <c r="A617" s="35"/>
    </row>
    <row r="618" ht="15.75" customHeight="1">
      <c r="A618" s="35"/>
    </row>
    <row r="619" ht="15.75" customHeight="1">
      <c r="A619" s="35"/>
    </row>
    <row r="620" ht="15.75" customHeight="1">
      <c r="A620" s="35"/>
    </row>
    <row r="621" ht="15.75" customHeight="1">
      <c r="A621" s="35"/>
    </row>
    <row r="622" ht="15.75" customHeight="1">
      <c r="A622" s="35"/>
    </row>
    <row r="623" ht="15.75" customHeight="1">
      <c r="A623" s="35"/>
    </row>
    <row r="624" ht="15.75" customHeight="1">
      <c r="A624" s="35"/>
    </row>
    <row r="625" ht="15.75" customHeight="1">
      <c r="A625" s="35"/>
    </row>
    <row r="626" ht="15.75" customHeight="1">
      <c r="A626" s="35"/>
    </row>
    <row r="627" ht="15.75" customHeight="1">
      <c r="A627" s="35"/>
    </row>
    <row r="628" ht="15.75" customHeight="1">
      <c r="A628" s="35"/>
    </row>
    <row r="629" ht="15.75" customHeight="1">
      <c r="A629" s="35"/>
    </row>
    <row r="630" ht="15.75" customHeight="1">
      <c r="A630" s="35"/>
    </row>
    <row r="631" ht="15.75" customHeight="1">
      <c r="A631" s="35"/>
    </row>
    <row r="632" ht="15.75" customHeight="1">
      <c r="A632" s="35"/>
    </row>
    <row r="633" ht="15.75" customHeight="1">
      <c r="A633" s="35"/>
    </row>
    <row r="634" ht="15.75" customHeight="1">
      <c r="A634" s="35"/>
    </row>
    <row r="635" ht="15.75" customHeight="1">
      <c r="A635" s="35"/>
    </row>
    <row r="636" ht="15.75" customHeight="1">
      <c r="A636" s="35"/>
    </row>
    <row r="637" ht="15.75" customHeight="1">
      <c r="A637" s="35"/>
    </row>
    <row r="638" ht="15.75" customHeight="1">
      <c r="A638" s="35"/>
    </row>
    <row r="639" ht="15.75" customHeight="1">
      <c r="A639" s="35"/>
    </row>
    <row r="640" ht="15.75" customHeight="1">
      <c r="A640" s="35"/>
    </row>
    <row r="641" ht="15.75" customHeight="1">
      <c r="A641" s="35"/>
    </row>
    <row r="642" ht="15.75" customHeight="1">
      <c r="A642" s="35"/>
    </row>
    <row r="643" ht="15.75" customHeight="1">
      <c r="A643" s="35"/>
    </row>
    <row r="644" ht="15.75" customHeight="1">
      <c r="A644" s="35"/>
    </row>
    <row r="645" ht="15.75" customHeight="1">
      <c r="A645" s="35"/>
    </row>
    <row r="646" ht="15.75" customHeight="1">
      <c r="A646" s="35"/>
    </row>
    <row r="647" ht="15.75" customHeight="1">
      <c r="A647" s="35"/>
    </row>
    <row r="648" ht="15.75" customHeight="1">
      <c r="A648" s="35"/>
    </row>
    <row r="649" ht="15.75" customHeight="1">
      <c r="A649" s="35"/>
    </row>
    <row r="650" ht="15.75" customHeight="1">
      <c r="A650" s="35"/>
    </row>
    <row r="651" ht="15.75" customHeight="1">
      <c r="A651" s="35"/>
    </row>
    <row r="652" ht="15.75" customHeight="1">
      <c r="A652" s="35"/>
    </row>
    <row r="653" ht="15.75" customHeight="1">
      <c r="A653" s="35"/>
    </row>
    <row r="654" ht="15.75" customHeight="1">
      <c r="A654" s="35"/>
    </row>
    <row r="655" ht="15.75" customHeight="1">
      <c r="A655" s="35"/>
    </row>
    <row r="656" ht="15.75" customHeight="1">
      <c r="A656" s="35"/>
    </row>
    <row r="657" ht="15.75" customHeight="1">
      <c r="A657" s="35"/>
    </row>
    <row r="658" ht="15.75" customHeight="1">
      <c r="A658" s="35"/>
    </row>
    <row r="659" ht="15.75" customHeight="1">
      <c r="A659" s="35"/>
    </row>
    <row r="660" ht="15.75" customHeight="1">
      <c r="A660" s="35"/>
    </row>
    <row r="661" ht="15.75" customHeight="1">
      <c r="A661" s="35"/>
    </row>
    <row r="662" ht="15.75" customHeight="1">
      <c r="A662" s="35"/>
    </row>
    <row r="663" ht="15.75" customHeight="1">
      <c r="A663" s="35"/>
    </row>
    <row r="664" ht="15.75" customHeight="1">
      <c r="A664" s="35"/>
    </row>
    <row r="665" ht="15.75" customHeight="1">
      <c r="A665" s="35"/>
    </row>
    <row r="666" ht="15.75" customHeight="1">
      <c r="A666" s="35"/>
    </row>
    <row r="667" ht="15.75" customHeight="1">
      <c r="A667" s="35"/>
    </row>
    <row r="668" ht="15.75" customHeight="1">
      <c r="A668" s="35"/>
    </row>
    <row r="669" ht="15.75" customHeight="1">
      <c r="A669" s="35"/>
    </row>
    <row r="670" ht="15.75" customHeight="1">
      <c r="A670" s="35"/>
    </row>
    <row r="671" ht="15.75" customHeight="1">
      <c r="A671" s="35"/>
    </row>
    <row r="672" ht="15.75" customHeight="1">
      <c r="A672" s="35"/>
    </row>
    <row r="673" ht="15.75" customHeight="1">
      <c r="A673" s="35"/>
    </row>
    <row r="674" ht="15.75" customHeight="1">
      <c r="A674" s="35"/>
    </row>
    <row r="675" ht="15.75" customHeight="1">
      <c r="A675" s="35"/>
    </row>
    <row r="676" ht="15.75" customHeight="1">
      <c r="A676" s="35"/>
    </row>
    <row r="677" ht="15.75" customHeight="1">
      <c r="A677" s="35"/>
    </row>
    <row r="678" ht="15.75" customHeight="1">
      <c r="A678" s="35"/>
    </row>
    <row r="679" ht="15.75" customHeight="1">
      <c r="A679" s="35"/>
    </row>
    <row r="680" ht="15.75" customHeight="1">
      <c r="A680" s="35"/>
    </row>
    <row r="681" ht="15.75" customHeight="1">
      <c r="A681" s="35"/>
    </row>
    <row r="682" ht="15.75" customHeight="1">
      <c r="A682" s="35"/>
    </row>
    <row r="683" ht="15.75" customHeight="1">
      <c r="A683" s="35"/>
    </row>
    <row r="684" ht="15.75" customHeight="1">
      <c r="A684" s="35"/>
    </row>
    <row r="685" ht="15.75" customHeight="1">
      <c r="A685" s="35"/>
    </row>
    <row r="686" ht="15.75" customHeight="1">
      <c r="A686" s="35"/>
    </row>
    <row r="687" ht="15.75" customHeight="1">
      <c r="A687" s="35"/>
    </row>
    <row r="688" ht="15.75" customHeight="1">
      <c r="A688" s="35"/>
    </row>
    <row r="689" ht="15.75" customHeight="1">
      <c r="A689" s="35"/>
    </row>
    <row r="690" ht="15.75" customHeight="1">
      <c r="A690" s="35"/>
    </row>
    <row r="691" ht="15.75" customHeight="1">
      <c r="A691" s="35"/>
    </row>
    <row r="692" ht="15.75" customHeight="1">
      <c r="A692" s="35"/>
    </row>
    <row r="693" ht="15.75" customHeight="1">
      <c r="A693" s="35"/>
    </row>
    <row r="694" ht="15.75" customHeight="1">
      <c r="A694" s="35"/>
    </row>
    <row r="695" ht="15.75" customHeight="1">
      <c r="A695" s="35"/>
    </row>
    <row r="696" ht="15.75" customHeight="1">
      <c r="A696" s="35"/>
    </row>
    <row r="697" ht="15.75" customHeight="1">
      <c r="A697" s="35"/>
    </row>
    <row r="698" ht="15.75" customHeight="1">
      <c r="A698" s="35"/>
    </row>
    <row r="699" ht="15.75" customHeight="1">
      <c r="A699" s="35"/>
    </row>
    <row r="700" ht="15.75" customHeight="1">
      <c r="A700" s="35"/>
    </row>
    <row r="701" ht="15.75" customHeight="1">
      <c r="A701" s="35"/>
    </row>
    <row r="702" ht="15.75" customHeight="1">
      <c r="A702" s="35"/>
    </row>
    <row r="703" ht="15.75" customHeight="1">
      <c r="A703" s="35"/>
    </row>
    <row r="704" ht="15.75" customHeight="1">
      <c r="A704" s="35"/>
    </row>
    <row r="705" ht="15.75" customHeight="1">
      <c r="A705" s="35"/>
    </row>
    <row r="706" ht="15.75" customHeight="1">
      <c r="A706" s="35"/>
    </row>
    <row r="707" ht="15.75" customHeight="1">
      <c r="A707" s="35"/>
    </row>
    <row r="708" ht="15.75" customHeight="1">
      <c r="A708" s="35"/>
    </row>
    <row r="709" ht="15.75" customHeight="1">
      <c r="A709" s="35"/>
    </row>
    <row r="710" ht="15.75" customHeight="1">
      <c r="A710" s="35"/>
    </row>
    <row r="711" ht="15.75" customHeight="1">
      <c r="A711" s="35"/>
    </row>
    <row r="712" ht="15.75" customHeight="1">
      <c r="A712" s="35"/>
    </row>
    <row r="713" ht="15.75" customHeight="1">
      <c r="A713" s="35"/>
    </row>
    <row r="714" ht="15.75" customHeight="1">
      <c r="A714" s="35"/>
    </row>
    <row r="715" ht="15.75" customHeight="1">
      <c r="A715" s="35"/>
    </row>
    <row r="716" ht="15.75" customHeight="1">
      <c r="A716" s="35"/>
    </row>
    <row r="717" ht="15.75" customHeight="1">
      <c r="A717" s="35"/>
    </row>
    <row r="718" ht="15.75" customHeight="1">
      <c r="A718" s="35"/>
    </row>
    <row r="719" ht="15.75" customHeight="1">
      <c r="A719" s="35"/>
    </row>
    <row r="720" ht="15.75" customHeight="1">
      <c r="A720" s="35"/>
    </row>
    <row r="721" ht="15.75" customHeight="1">
      <c r="A721" s="35"/>
    </row>
    <row r="722" ht="15.75" customHeight="1">
      <c r="A722" s="35"/>
    </row>
    <row r="723" ht="15.75" customHeight="1">
      <c r="A723" s="35"/>
    </row>
    <row r="724" ht="15.75" customHeight="1">
      <c r="A724" s="35"/>
    </row>
    <row r="725" ht="15.75" customHeight="1">
      <c r="A725" s="35"/>
    </row>
    <row r="726" ht="15.75" customHeight="1">
      <c r="A726" s="35"/>
    </row>
    <row r="727" ht="15.75" customHeight="1">
      <c r="A727" s="35"/>
    </row>
    <row r="728" ht="15.75" customHeight="1">
      <c r="A728" s="35"/>
    </row>
    <row r="729" ht="15.75" customHeight="1">
      <c r="A729" s="35"/>
    </row>
    <row r="730" ht="15.75" customHeight="1">
      <c r="A730" s="35"/>
    </row>
    <row r="731" ht="15.75" customHeight="1">
      <c r="A731" s="35"/>
    </row>
    <row r="732" ht="15.75" customHeight="1">
      <c r="A732" s="35"/>
    </row>
    <row r="733" ht="15.75" customHeight="1">
      <c r="A733" s="35"/>
    </row>
    <row r="734" ht="15.75" customHeight="1">
      <c r="A734" s="35"/>
    </row>
    <row r="735" ht="15.75" customHeight="1">
      <c r="A735" s="35"/>
    </row>
    <row r="736" ht="15.75" customHeight="1">
      <c r="A736" s="35"/>
    </row>
    <row r="737" ht="15.75" customHeight="1">
      <c r="A737" s="35"/>
    </row>
    <row r="738" ht="15.75" customHeight="1">
      <c r="A738" s="35"/>
    </row>
    <row r="739" ht="15.75" customHeight="1">
      <c r="A739" s="35"/>
    </row>
    <row r="740" ht="15.75" customHeight="1">
      <c r="A740" s="35"/>
    </row>
    <row r="741" ht="15.75" customHeight="1">
      <c r="A741" s="35"/>
    </row>
    <row r="742" ht="15.75" customHeight="1">
      <c r="A742" s="35"/>
    </row>
    <row r="743" ht="15.75" customHeight="1">
      <c r="A743" s="35"/>
    </row>
    <row r="744" ht="15.75" customHeight="1">
      <c r="A744" s="35"/>
    </row>
    <row r="745" ht="15.75" customHeight="1">
      <c r="A745" s="35"/>
    </row>
    <row r="746" ht="15.75" customHeight="1">
      <c r="A746" s="35"/>
    </row>
    <row r="747" ht="15.75" customHeight="1">
      <c r="A747" s="35"/>
    </row>
    <row r="748" ht="15.75" customHeight="1">
      <c r="A748" s="35"/>
    </row>
    <row r="749" ht="15.75" customHeight="1">
      <c r="A749" s="35"/>
    </row>
    <row r="750" ht="15.75" customHeight="1">
      <c r="A750" s="35"/>
    </row>
    <row r="751" ht="15.75" customHeight="1">
      <c r="A751" s="35"/>
    </row>
    <row r="752" ht="15.75" customHeight="1">
      <c r="A752" s="35"/>
    </row>
    <row r="753" ht="15.75" customHeight="1">
      <c r="A753" s="35"/>
    </row>
    <row r="754" ht="15.75" customHeight="1">
      <c r="A754" s="35"/>
    </row>
    <row r="755" ht="15.75" customHeight="1">
      <c r="A755" s="35"/>
    </row>
    <row r="756" ht="15.75" customHeight="1">
      <c r="A756" s="35"/>
    </row>
    <row r="757" ht="15.75" customHeight="1">
      <c r="A757" s="35"/>
    </row>
    <row r="758" ht="15.75" customHeight="1">
      <c r="A758" s="35"/>
    </row>
    <row r="759" ht="15.75" customHeight="1">
      <c r="A759" s="35"/>
    </row>
    <row r="760" ht="15.75" customHeight="1">
      <c r="A760" s="35"/>
    </row>
    <row r="761" ht="15.75" customHeight="1">
      <c r="A761" s="35"/>
    </row>
    <row r="762" ht="15.75" customHeight="1">
      <c r="A762" s="35"/>
    </row>
    <row r="763" ht="15.75" customHeight="1">
      <c r="A763" s="35"/>
    </row>
    <row r="764" ht="15.75" customHeight="1">
      <c r="A764" s="35"/>
    </row>
    <row r="765" ht="15.75" customHeight="1">
      <c r="A765" s="35"/>
    </row>
    <row r="766" ht="15.75" customHeight="1">
      <c r="A766" s="35"/>
    </row>
    <row r="767" ht="15.75" customHeight="1">
      <c r="A767" s="35"/>
    </row>
    <row r="768" ht="15.75" customHeight="1">
      <c r="A768" s="35"/>
    </row>
    <row r="769" ht="15.75" customHeight="1">
      <c r="A769" s="35"/>
    </row>
    <row r="770" ht="15.75" customHeight="1">
      <c r="A770" s="35"/>
    </row>
    <row r="771" ht="15.75" customHeight="1">
      <c r="A771" s="35"/>
    </row>
    <row r="772" ht="15.75" customHeight="1">
      <c r="A772" s="35"/>
    </row>
    <row r="773" ht="15.75" customHeight="1">
      <c r="A773" s="35"/>
    </row>
    <row r="774" ht="15.75" customHeight="1">
      <c r="A774" s="35"/>
    </row>
    <row r="775" ht="15.75" customHeight="1">
      <c r="A775" s="35"/>
    </row>
    <row r="776" ht="15.75" customHeight="1">
      <c r="A776" s="35"/>
    </row>
    <row r="777" ht="15.75" customHeight="1">
      <c r="A777" s="35"/>
    </row>
    <row r="778" ht="15.75" customHeight="1">
      <c r="A778" s="35"/>
    </row>
    <row r="779" ht="15.75" customHeight="1">
      <c r="A779" s="35"/>
    </row>
    <row r="780" ht="15.75" customHeight="1">
      <c r="A780" s="35"/>
    </row>
    <row r="781" ht="15.75" customHeight="1">
      <c r="A781" s="35"/>
    </row>
    <row r="782" ht="15.75" customHeight="1">
      <c r="A782" s="35"/>
    </row>
    <row r="783" ht="15.75" customHeight="1">
      <c r="A783" s="35"/>
    </row>
    <row r="784" ht="15.75" customHeight="1">
      <c r="A784" s="35"/>
    </row>
    <row r="785" ht="15.75" customHeight="1">
      <c r="A785" s="35"/>
    </row>
    <row r="786" ht="15.75" customHeight="1">
      <c r="A786" s="35"/>
    </row>
    <row r="787" ht="15.75" customHeight="1">
      <c r="A787" s="35"/>
    </row>
    <row r="788" ht="15.75" customHeight="1">
      <c r="A788" s="35"/>
    </row>
    <row r="789" ht="15.75" customHeight="1">
      <c r="A789" s="35"/>
    </row>
    <row r="790" ht="15.75" customHeight="1">
      <c r="A790" s="35"/>
    </row>
    <row r="791" ht="15.75" customHeight="1">
      <c r="A791" s="35"/>
    </row>
    <row r="792" ht="15.75" customHeight="1">
      <c r="A792" s="35"/>
    </row>
    <row r="793" ht="15.75" customHeight="1">
      <c r="A793" s="35"/>
    </row>
    <row r="794" ht="15.75" customHeight="1">
      <c r="A794" s="35"/>
    </row>
    <row r="795" ht="15.75" customHeight="1">
      <c r="A795" s="35"/>
    </row>
    <row r="796" ht="15.75" customHeight="1">
      <c r="A796" s="35"/>
    </row>
    <row r="797" ht="15.75" customHeight="1">
      <c r="A797" s="35"/>
    </row>
    <row r="798" ht="15.75" customHeight="1">
      <c r="A798" s="35"/>
    </row>
    <row r="799" ht="15.75" customHeight="1">
      <c r="A799" s="35"/>
    </row>
    <row r="800" ht="15.75" customHeight="1">
      <c r="A800" s="35"/>
    </row>
    <row r="801" ht="15.75" customHeight="1">
      <c r="A801" s="35"/>
    </row>
    <row r="802" ht="15.75" customHeight="1">
      <c r="A802" s="35"/>
    </row>
    <row r="803" ht="15.75" customHeight="1">
      <c r="A803" s="35"/>
    </row>
    <row r="804" ht="15.75" customHeight="1">
      <c r="A804" s="35"/>
    </row>
    <row r="805" ht="15.75" customHeight="1">
      <c r="A805" s="35"/>
    </row>
    <row r="806" ht="15.75" customHeight="1">
      <c r="A806" s="35"/>
    </row>
    <row r="807" ht="15.75" customHeight="1">
      <c r="A807" s="35"/>
    </row>
    <row r="808" ht="15.75" customHeight="1">
      <c r="A808" s="35"/>
    </row>
    <row r="809" ht="15.75" customHeight="1">
      <c r="A809" s="35"/>
    </row>
    <row r="810" ht="15.75" customHeight="1">
      <c r="A810" s="35"/>
    </row>
    <row r="811" ht="15.75" customHeight="1">
      <c r="A811" s="35"/>
    </row>
    <row r="812" ht="15.75" customHeight="1">
      <c r="A812" s="35"/>
    </row>
    <row r="813" ht="15.75" customHeight="1">
      <c r="A813" s="35"/>
    </row>
    <row r="814" ht="15.75" customHeight="1">
      <c r="A814" s="35"/>
    </row>
    <row r="815" ht="15.75" customHeight="1">
      <c r="A815" s="35"/>
    </row>
    <row r="816" ht="15.75" customHeight="1">
      <c r="A816" s="35"/>
    </row>
    <row r="817" ht="15.75" customHeight="1">
      <c r="A817" s="35"/>
    </row>
    <row r="818" ht="15.75" customHeight="1">
      <c r="A818" s="35"/>
    </row>
    <row r="819" ht="15.75" customHeight="1">
      <c r="A819" s="35"/>
    </row>
    <row r="820" ht="15.75" customHeight="1">
      <c r="A820" s="35"/>
    </row>
    <row r="821" ht="15.75" customHeight="1">
      <c r="A821" s="35"/>
    </row>
    <row r="822" ht="15.75" customHeight="1">
      <c r="A822" s="35"/>
    </row>
    <row r="823" ht="15.75" customHeight="1">
      <c r="A823" s="35"/>
    </row>
    <row r="824" ht="15.75" customHeight="1">
      <c r="A824" s="35"/>
    </row>
    <row r="825" ht="15.75" customHeight="1">
      <c r="A825" s="35"/>
    </row>
    <row r="826" ht="15.75" customHeight="1">
      <c r="A826" s="35"/>
    </row>
    <row r="827" ht="15.75" customHeight="1">
      <c r="A827" s="35"/>
    </row>
    <row r="828" ht="15.75" customHeight="1">
      <c r="A828" s="35"/>
    </row>
    <row r="829" ht="15.75" customHeight="1">
      <c r="A829" s="35"/>
    </row>
    <row r="830" ht="15.75" customHeight="1">
      <c r="A830" s="35"/>
    </row>
    <row r="831" ht="15.75" customHeight="1">
      <c r="A831" s="35"/>
    </row>
    <row r="832" ht="15.75" customHeight="1">
      <c r="A832" s="35"/>
    </row>
    <row r="833" ht="15.75" customHeight="1">
      <c r="A833" s="35"/>
    </row>
    <row r="834" ht="15.75" customHeight="1">
      <c r="A834" s="35"/>
    </row>
    <row r="835" ht="15.75" customHeight="1">
      <c r="A835" s="35"/>
    </row>
    <row r="836" ht="15.75" customHeight="1">
      <c r="A836" s="35"/>
    </row>
    <row r="837" ht="15.75" customHeight="1">
      <c r="A837" s="35"/>
    </row>
    <row r="838" ht="15.75" customHeight="1">
      <c r="A838" s="35"/>
    </row>
    <row r="839" ht="15.75" customHeight="1">
      <c r="A839" s="35"/>
    </row>
    <row r="840" ht="15.75" customHeight="1">
      <c r="A840" s="35"/>
    </row>
    <row r="841" ht="15.75" customHeight="1">
      <c r="A841" s="35"/>
    </row>
    <row r="842" ht="15.75" customHeight="1">
      <c r="A842" s="35"/>
    </row>
    <row r="843" ht="15.75" customHeight="1">
      <c r="A843" s="35"/>
    </row>
    <row r="844" ht="15.75" customHeight="1">
      <c r="A844" s="35"/>
    </row>
    <row r="845" ht="15.75" customHeight="1">
      <c r="A845" s="35"/>
    </row>
    <row r="846" ht="15.75" customHeight="1">
      <c r="A846" s="35"/>
    </row>
    <row r="847" ht="15.75" customHeight="1">
      <c r="A847" s="35"/>
    </row>
    <row r="848" ht="15.75" customHeight="1">
      <c r="A848" s="35"/>
    </row>
    <row r="849" ht="15.75" customHeight="1">
      <c r="A849" s="35"/>
    </row>
    <row r="850" ht="15.75" customHeight="1">
      <c r="A850" s="35"/>
    </row>
    <row r="851" ht="15.75" customHeight="1">
      <c r="A851" s="35"/>
    </row>
    <row r="852" ht="15.75" customHeight="1">
      <c r="A852" s="35"/>
    </row>
    <row r="853" ht="15.75" customHeight="1">
      <c r="A853" s="35"/>
    </row>
    <row r="854" ht="15.75" customHeight="1">
      <c r="A854" s="35"/>
    </row>
    <row r="855" ht="15.75" customHeight="1">
      <c r="A855" s="35"/>
    </row>
    <row r="856" ht="15.75" customHeight="1">
      <c r="A856" s="35"/>
    </row>
    <row r="857" ht="15.75" customHeight="1">
      <c r="A857" s="35"/>
    </row>
    <row r="858" ht="15.75" customHeight="1">
      <c r="A858" s="35"/>
    </row>
    <row r="859" ht="15.75" customHeight="1">
      <c r="A859" s="35"/>
    </row>
    <row r="860" ht="15.75" customHeight="1">
      <c r="A860" s="35"/>
    </row>
    <row r="861" ht="15.75" customHeight="1">
      <c r="A861" s="35"/>
    </row>
    <row r="862" ht="15.75" customHeight="1">
      <c r="A862" s="35"/>
    </row>
    <row r="863" ht="15.75" customHeight="1">
      <c r="A863" s="35"/>
    </row>
    <row r="864" ht="15.75" customHeight="1">
      <c r="A864" s="35"/>
    </row>
    <row r="865" ht="15.75" customHeight="1">
      <c r="A865" s="35"/>
    </row>
    <row r="866" ht="15.75" customHeight="1">
      <c r="A866" s="35"/>
    </row>
    <row r="867" ht="15.75" customHeight="1">
      <c r="A867" s="35"/>
    </row>
    <row r="868" ht="15.75" customHeight="1">
      <c r="A868" s="35"/>
    </row>
    <row r="869" ht="15.75" customHeight="1">
      <c r="A869" s="35"/>
    </row>
    <row r="870" ht="15.75" customHeight="1">
      <c r="A870" s="35"/>
    </row>
    <row r="871" ht="15.75" customHeight="1">
      <c r="A871" s="35"/>
    </row>
    <row r="872" ht="15.75" customHeight="1">
      <c r="A872" s="35"/>
    </row>
    <row r="873" ht="15.75" customHeight="1">
      <c r="A873" s="35"/>
    </row>
    <row r="874" ht="15.75" customHeight="1">
      <c r="A874" s="35"/>
    </row>
    <row r="875" ht="15.75" customHeight="1">
      <c r="A875" s="35"/>
    </row>
    <row r="876" ht="15.75" customHeight="1">
      <c r="A876" s="35"/>
    </row>
    <row r="877" ht="15.75" customHeight="1">
      <c r="A877" s="35"/>
    </row>
    <row r="878" ht="15.75" customHeight="1">
      <c r="A878" s="35"/>
    </row>
    <row r="879" ht="15.75" customHeight="1">
      <c r="A879" s="35"/>
    </row>
    <row r="880" ht="15.75" customHeight="1">
      <c r="A880" s="35"/>
    </row>
    <row r="881" ht="15.75" customHeight="1">
      <c r="A881" s="35"/>
    </row>
    <row r="882" ht="15.75" customHeight="1">
      <c r="A882" s="35"/>
    </row>
    <row r="883" ht="15.75" customHeight="1">
      <c r="A883" s="35"/>
    </row>
    <row r="884" ht="15.75" customHeight="1">
      <c r="A884" s="35"/>
    </row>
    <row r="885" ht="15.75" customHeight="1">
      <c r="A885" s="35"/>
    </row>
    <row r="886" ht="15.75" customHeight="1">
      <c r="A886" s="35"/>
    </row>
    <row r="887" ht="15.75" customHeight="1">
      <c r="A887" s="35"/>
    </row>
    <row r="888" ht="15.75" customHeight="1">
      <c r="A888" s="35"/>
    </row>
    <row r="889" ht="15.75" customHeight="1">
      <c r="A889" s="35"/>
    </row>
    <row r="890" ht="15.75" customHeight="1">
      <c r="A890" s="35"/>
    </row>
    <row r="891" ht="15.75" customHeight="1">
      <c r="A891" s="35"/>
    </row>
    <row r="892" ht="15.75" customHeight="1">
      <c r="A892" s="35"/>
    </row>
    <row r="893" ht="15.75" customHeight="1">
      <c r="A893" s="35"/>
    </row>
    <row r="894" ht="15.75" customHeight="1">
      <c r="A894" s="35"/>
    </row>
    <row r="895" ht="15.75" customHeight="1">
      <c r="A895" s="35"/>
    </row>
    <row r="896" ht="15.75" customHeight="1">
      <c r="A896" s="35"/>
    </row>
    <row r="897" ht="15.75" customHeight="1">
      <c r="A897" s="35"/>
    </row>
    <row r="898" ht="15.75" customHeight="1">
      <c r="A898" s="35"/>
    </row>
    <row r="899" ht="15.75" customHeight="1">
      <c r="A899" s="35"/>
    </row>
    <row r="900" ht="15.75" customHeight="1">
      <c r="A900" s="35"/>
    </row>
    <row r="901" ht="15.75" customHeight="1">
      <c r="A901" s="35"/>
    </row>
    <row r="902" ht="15.75" customHeight="1">
      <c r="A902" s="35"/>
    </row>
    <row r="903" ht="15.75" customHeight="1">
      <c r="A903" s="35"/>
    </row>
    <row r="904" ht="15.75" customHeight="1">
      <c r="A904" s="35"/>
    </row>
    <row r="905" ht="15.75" customHeight="1">
      <c r="A905" s="35"/>
    </row>
    <row r="906" ht="15.75" customHeight="1">
      <c r="A906" s="35"/>
    </row>
    <row r="907" ht="15.75" customHeight="1">
      <c r="A907" s="35"/>
    </row>
    <row r="908" ht="15.75" customHeight="1">
      <c r="A908" s="35"/>
    </row>
    <row r="909" ht="15.75" customHeight="1">
      <c r="A909" s="35"/>
    </row>
    <row r="910" ht="15.75" customHeight="1">
      <c r="A910" s="35"/>
    </row>
    <row r="911" ht="15.75" customHeight="1">
      <c r="A911" s="35"/>
    </row>
    <row r="912" ht="15.75" customHeight="1">
      <c r="A912" s="35"/>
    </row>
    <row r="913" ht="15.75" customHeight="1">
      <c r="A913" s="35"/>
    </row>
    <row r="914" ht="15.75" customHeight="1">
      <c r="A914" s="35"/>
    </row>
    <row r="915" ht="15.75" customHeight="1">
      <c r="A915" s="35"/>
    </row>
    <row r="916" ht="15.75" customHeight="1">
      <c r="A916" s="35"/>
    </row>
    <row r="917" ht="15.75" customHeight="1">
      <c r="A917" s="35"/>
    </row>
    <row r="918" ht="15.75" customHeight="1">
      <c r="A918" s="35"/>
    </row>
    <row r="919" ht="15.75" customHeight="1">
      <c r="A919" s="35"/>
    </row>
    <row r="920" ht="15.75" customHeight="1">
      <c r="A920" s="35"/>
    </row>
    <row r="921" ht="15.75" customHeight="1">
      <c r="A921" s="35"/>
    </row>
    <row r="922" ht="15.75" customHeight="1">
      <c r="A922" s="35"/>
    </row>
    <row r="923" ht="15.75" customHeight="1">
      <c r="A923" s="35"/>
    </row>
    <row r="924" ht="15.75" customHeight="1">
      <c r="A924" s="35"/>
    </row>
    <row r="925" ht="15.75" customHeight="1">
      <c r="A925" s="35"/>
    </row>
    <row r="926" ht="15.75" customHeight="1">
      <c r="A926" s="35"/>
    </row>
    <row r="927" ht="15.75" customHeight="1">
      <c r="A927" s="35"/>
    </row>
    <row r="928" ht="15.75" customHeight="1">
      <c r="A928" s="35"/>
    </row>
    <row r="929" ht="15.75" customHeight="1">
      <c r="A929" s="35"/>
    </row>
    <row r="930" ht="15.75" customHeight="1">
      <c r="A930" s="35"/>
    </row>
    <row r="931" ht="15.75" customHeight="1">
      <c r="A931" s="35"/>
    </row>
    <row r="932" ht="15.75" customHeight="1">
      <c r="A932" s="35"/>
    </row>
    <row r="933" ht="15.75" customHeight="1">
      <c r="A933" s="35"/>
    </row>
    <row r="934" ht="15.75" customHeight="1">
      <c r="A934" s="35"/>
    </row>
    <row r="935" ht="15.75" customHeight="1">
      <c r="A935" s="35"/>
    </row>
    <row r="936" ht="15.75" customHeight="1">
      <c r="A936" s="35"/>
    </row>
    <row r="937" ht="15.75" customHeight="1">
      <c r="A937" s="35"/>
    </row>
    <row r="938" ht="15.75" customHeight="1">
      <c r="A938" s="35"/>
    </row>
    <row r="939" ht="15.75" customHeight="1">
      <c r="A939" s="35"/>
    </row>
    <row r="940" ht="15.75" customHeight="1">
      <c r="A940" s="35"/>
    </row>
    <row r="941" ht="15.75" customHeight="1">
      <c r="A941" s="35"/>
    </row>
    <row r="942" ht="15.75" customHeight="1">
      <c r="A942" s="35"/>
    </row>
    <row r="943" ht="15.75" customHeight="1">
      <c r="A943" s="35"/>
    </row>
    <row r="944" ht="15.75" customHeight="1">
      <c r="A944" s="35"/>
    </row>
    <row r="945" ht="15.75" customHeight="1">
      <c r="A945" s="35"/>
    </row>
    <row r="946" ht="15.75" customHeight="1">
      <c r="A946" s="35"/>
    </row>
    <row r="947" ht="15.75" customHeight="1">
      <c r="A947" s="35"/>
    </row>
    <row r="948" ht="15.75" customHeight="1">
      <c r="A948" s="35"/>
    </row>
    <row r="949" ht="15.75" customHeight="1">
      <c r="A949" s="35"/>
    </row>
    <row r="950" ht="15.75" customHeight="1">
      <c r="A950" s="35"/>
    </row>
    <row r="951" ht="15.75" customHeight="1">
      <c r="A951" s="35"/>
    </row>
    <row r="952" ht="15.75" customHeight="1">
      <c r="A952" s="35"/>
    </row>
    <row r="953" ht="15.75" customHeight="1">
      <c r="A953" s="35"/>
    </row>
    <row r="954" ht="15.75" customHeight="1">
      <c r="A954" s="35"/>
    </row>
    <row r="955" ht="15.75" customHeight="1">
      <c r="A955" s="35"/>
    </row>
    <row r="956" ht="15.75" customHeight="1">
      <c r="A956" s="35"/>
    </row>
    <row r="957" ht="15.75" customHeight="1">
      <c r="A957" s="35"/>
    </row>
    <row r="958" ht="15.75" customHeight="1">
      <c r="A958" s="35"/>
    </row>
    <row r="959" ht="15.75" customHeight="1">
      <c r="A959" s="35"/>
    </row>
    <row r="960" ht="15.75" customHeight="1">
      <c r="A960" s="35"/>
    </row>
    <row r="961" ht="15.75" customHeight="1">
      <c r="A961" s="35"/>
    </row>
    <row r="962" ht="15.75" customHeight="1">
      <c r="A962" s="35"/>
    </row>
    <row r="963" ht="15.75" customHeight="1">
      <c r="A963" s="35"/>
    </row>
    <row r="964" ht="15.75" customHeight="1">
      <c r="A964" s="35"/>
    </row>
    <row r="965" ht="15.75" customHeight="1">
      <c r="A965" s="35"/>
    </row>
    <row r="966" ht="15.75" customHeight="1">
      <c r="A966" s="35"/>
    </row>
    <row r="967" ht="15.75" customHeight="1">
      <c r="A967" s="35"/>
    </row>
    <row r="968" ht="15.75" customHeight="1">
      <c r="A968" s="35"/>
    </row>
    <row r="969" ht="15.75" customHeight="1">
      <c r="A969" s="35"/>
    </row>
    <row r="970" ht="15.75" customHeight="1">
      <c r="A970" s="35"/>
    </row>
    <row r="971" ht="15.75" customHeight="1">
      <c r="A971" s="35"/>
    </row>
    <row r="972" ht="15.75" customHeight="1">
      <c r="A972" s="35"/>
    </row>
    <row r="973" ht="15.75" customHeight="1">
      <c r="A973" s="35"/>
    </row>
    <row r="974" ht="15.75" customHeight="1">
      <c r="A974" s="35"/>
    </row>
    <row r="975" ht="15.75" customHeight="1">
      <c r="A975" s="35"/>
    </row>
    <row r="976" ht="15.75" customHeight="1">
      <c r="A976" s="35"/>
    </row>
    <row r="977" ht="15.75" customHeight="1">
      <c r="A977" s="35"/>
    </row>
    <row r="978" ht="15.75" customHeight="1">
      <c r="A978" s="35"/>
    </row>
    <row r="979" ht="15.75" customHeight="1">
      <c r="A979" s="35"/>
    </row>
    <row r="980" ht="15.75" customHeight="1">
      <c r="A980" s="35"/>
    </row>
    <row r="981" ht="15.75" customHeight="1">
      <c r="A981" s="35"/>
    </row>
    <row r="982" ht="15.75" customHeight="1">
      <c r="A982" s="35"/>
    </row>
    <row r="983" ht="15.75" customHeight="1">
      <c r="A983" s="35"/>
    </row>
    <row r="984" ht="15.75" customHeight="1">
      <c r="A984" s="35"/>
    </row>
    <row r="985" ht="15.75" customHeight="1">
      <c r="A985" s="35"/>
    </row>
    <row r="986" ht="15.75" customHeight="1">
      <c r="A986" s="35"/>
    </row>
    <row r="987" ht="15.75" customHeight="1">
      <c r="A987" s="35"/>
    </row>
    <row r="988" ht="15.75" customHeight="1">
      <c r="A988" s="35"/>
    </row>
    <row r="989" ht="15.75" customHeight="1">
      <c r="A989" s="35"/>
    </row>
    <row r="990" ht="15.75" customHeight="1">
      <c r="A990" s="35"/>
    </row>
    <row r="991" ht="15.75" customHeight="1">
      <c r="A991" s="35"/>
    </row>
    <row r="992" ht="15.75" customHeight="1">
      <c r="A992" s="35"/>
    </row>
    <row r="993" ht="15.75" customHeight="1">
      <c r="A993" s="35"/>
    </row>
    <row r="994" ht="15.75" customHeight="1">
      <c r="A994" s="35"/>
    </row>
    <row r="995" ht="15.75" customHeight="1">
      <c r="A995" s="35"/>
    </row>
    <row r="996" ht="15.75" customHeight="1">
      <c r="A996" s="35"/>
    </row>
    <row r="997" ht="15.75" customHeight="1">
      <c r="A997" s="35"/>
    </row>
    <row r="998" ht="15.75" customHeight="1">
      <c r="A998" s="35"/>
    </row>
    <row r="999" ht="15.75" customHeight="1">
      <c r="A999" s="35"/>
    </row>
  </sheetData>
  <autoFilter ref="$A$1:$C$174">
    <sortState ref="A1:C174">
      <sortCondition ref="A1:A174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8.71"/>
    <col customWidth="1" min="4" max="4" width="13.29"/>
    <col customWidth="1" min="5" max="5" width="13.57"/>
    <col customWidth="1" min="6" max="9" width="8.71"/>
  </cols>
  <sheetData>
    <row r="1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7">
        <v>45292.0</v>
      </c>
      <c r="B2" s="3">
        <f>375+90</f>
        <v>465</v>
      </c>
      <c r="C2" s="7">
        <v>150.0</v>
      </c>
      <c r="D2" s="7">
        <f t="shared" ref="D2:E2" si="1">B2</f>
        <v>465</v>
      </c>
      <c r="E2" s="7">
        <f t="shared" si="1"/>
        <v>150</v>
      </c>
    </row>
    <row r="3">
      <c r="A3" s="37">
        <v>45293.0</v>
      </c>
      <c r="B3" s="3">
        <v>50.0</v>
      </c>
      <c r="C3" s="7">
        <v>150.0</v>
      </c>
      <c r="D3" s="7">
        <f t="shared" ref="D3:D32" si="2">D2+B3</f>
        <v>515</v>
      </c>
      <c r="E3" s="7">
        <f t="shared" ref="E3:E32" si="3">E2+150</f>
        <v>300</v>
      </c>
    </row>
    <row r="4">
      <c r="A4" s="37">
        <v>45294.0</v>
      </c>
      <c r="B4" s="3">
        <v>130.0</v>
      </c>
      <c r="C4" s="7">
        <v>150.0</v>
      </c>
      <c r="D4" s="7">
        <f t="shared" si="2"/>
        <v>645</v>
      </c>
      <c r="E4" s="7">
        <f t="shared" si="3"/>
        <v>450</v>
      </c>
    </row>
    <row r="5">
      <c r="A5" s="37">
        <v>45295.0</v>
      </c>
      <c r="B5" s="3">
        <v>120.0</v>
      </c>
      <c r="C5" s="7">
        <v>150.0</v>
      </c>
      <c r="D5" s="7">
        <f t="shared" si="2"/>
        <v>765</v>
      </c>
      <c r="E5" s="7">
        <f t="shared" si="3"/>
        <v>600</v>
      </c>
    </row>
    <row r="6">
      <c r="A6" s="37">
        <v>45296.0</v>
      </c>
      <c r="B6" s="3">
        <v>70.0</v>
      </c>
      <c r="C6" s="7">
        <v>150.0</v>
      </c>
      <c r="D6" s="7">
        <f t="shared" si="2"/>
        <v>835</v>
      </c>
      <c r="E6" s="7">
        <f t="shared" si="3"/>
        <v>750</v>
      </c>
    </row>
    <row r="7">
      <c r="A7" s="37">
        <v>45297.0</v>
      </c>
      <c r="B7" s="3">
        <v>85.0</v>
      </c>
      <c r="C7" s="7">
        <v>150.0</v>
      </c>
      <c r="D7" s="7">
        <f t="shared" si="2"/>
        <v>920</v>
      </c>
      <c r="E7" s="7">
        <f t="shared" si="3"/>
        <v>900</v>
      </c>
    </row>
    <row r="8">
      <c r="A8" s="37">
        <v>45298.0</v>
      </c>
      <c r="B8" s="3">
        <f>245+30+30+20</f>
        <v>325</v>
      </c>
      <c r="C8" s="7">
        <v>150.0</v>
      </c>
      <c r="D8" s="7">
        <f t="shared" si="2"/>
        <v>1245</v>
      </c>
      <c r="E8" s="7">
        <f t="shared" si="3"/>
        <v>1050</v>
      </c>
    </row>
    <row r="9">
      <c r="A9" s="37">
        <v>45299.0</v>
      </c>
      <c r="B9" s="3">
        <f>250+30</f>
        <v>280</v>
      </c>
      <c r="C9" s="7">
        <v>150.0</v>
      </c>
      <c r="D9" s="7">
        <f t="shared" si="2"/>
        <v>1525</v>
      </c>
      <c r="E9" s="7">
        <f t="shared" si="3"/>
        <v>1200</v>
      </c>
    </row>
    <row r="10">
      <c r="A10" s="37">
        <v>45300.0</v>
      </c>
      <c r="B10" s="3">
        <v>110.0</v>
      </c>
      <c r="C10" s="7">
        <v>150.0</v>
      </c>
      <c r="D10" s="7">
        <f t="shared" si="2"/>
        <v>1635</v>
      </c>
      <c r="E10" s="7">
        <f t="shared" si="3"/>
        <v>1350</v>
      </c>
    </row>
    <row r="11">
      <c r="A11" s="37">
        <v>45301.0</v>
      </c>
      <c r="B11" s="3">
        <v>145.0</v>
      </c>
      <c r="C11" s="7">
        <v>150.0</v>
      </c>
      <c r="D11" s="7">
        <f t="shared" si="2"/>
        <v>1780</v>
      </c>
      <c r="E11" s="7">
        <f t="shared" si="3"/>
        <v>1500</v>
      </c>
    </row>
    <row r="12">
      <c r="A12" s="37">
        <v>45302.0</v>
      </c>
      <c r="B12" s="3">
        <v>50.0</v>
      </c>
      <c r="C12" s="7">
        <v>150.0</v>
      </c>
      <c r="D12" s="7">
        <f t="shared" si="2"/>
        <v>1830</v>
      </c>
      <c r="E12" s="7">
        <f t="shared" si="3"/>
        <v>1650</v>
      </c>
    </row>
    <row r="13">
      <c r="A13" s="37">
        <v>45303.0</v>
      </c>
      <c r="C13" s="7">
        <v>150.0</v>
      </c>
      <c r="D13" s="7">
        <f t="shared" si="2"/>
        <v>1830</v>
      </c>
      <c r="E13" s="7">
        <f t="shared" si="3"/>
        <v>1800</v>
      </c>
    </row>
    <row r="14">
      <c r="A14" s="37">
        <v>45304.0</v>
      </c>
      <c r="C14" s="7">
        <v>150.0</v>
      </c>
      <c r="D14" s="7">
        <f t="shared" si="2"/>
        <v>1830</v>
      </c>
      <c r="E14" s="7">
        <f t="shared" si="3"/>
        <v>1950</v>
      </c>
    </row>
    <row r="15">
      <c r="A15" s="37">
        <v>45305.0</v>
      </c>
      <c r="C15" s="7">
        <v>150.0</v>
      </c>
      <c r="D15" s="7">
        <f t="shared" si="2"/>
        <v>1830</v>
      </c>
      <c r="E15" s="7">
        <f t="shared" si="3"/>
        <v>2100</v>
      </c>
    </row>
    <row r="16">
      <c r="A16" s="37">
        <v>45306.0</v>
      </c>
      <c r="C16" s="7">
        <v>150.0</v>
      </c>
      <c r="D16" s="7">
        <f t="shared" si="2"/>
        <v>1830</v>
      </c>
      <c r="E16" s="7">
        <f t="shared" si="3"/>
        <v>2250</v>
      </c>
    </row>
    <row r="17">
      <c r="A17" s="37">
        <v>45307.0</v>
      </c>
      <c r="C17" s="7">
        <v>150.0</v>
      </c>
      <c r="D17" s="7">
        <f t="shared" si="2"/>
        <v>1830</v>
      </c>
      <c r="E17" s="7">
        <f t="shared" si="3"/>
        <v>2400</v>
      </c>
    </row>
    <row r="18">
      <c r="A18" s="37">
        <v>45308.0</v>
      </c>
      <c r="B18" s="3">
        <v>110.0</v>
      </c>
      <c r="C18" s="7">
        <v>150.0</v>
      </c>
      <c r="D18" s="7">
        <f t="shared" si="2"/>
        <v>1940</v>
      </c>
      <c r="E18" s="7">
        <f t="shared" si="3"/>
        <v>2550</v>
      </c>
    </row>
    <row r="19">
      <c r="A19" s="37">
        <v>45309.0</v>
      </c>
      <c r="B19" s="3">
        <f>85+40+15</f>
        <v>140</v>
      </c>
      <c r="C19" s="7">
        <v>150.0</v>
      </c>
      <c r="D19" s="7">
        <f t="shared" si="2"/>
        <v>2080</v>
      </c>
      <c r="E19" s="7">
        <f t="shared" si="3"/>
        <v>2700</v>
      </c>
    </row>
    <row r="20">
      <c r="A20" s="37">
        <v>45310.0</v>
      </c>
      <c r="B20" s="3">
        <v>50.0</v>
      </c>
      <c r="C20" s="7">
        <v>150.0</v>
      </c>
      <c r="D20" s="7">
        <f t="shared" si="2"/>
        <v>2130</v>
      </c>
      <c r="E20" s="7">
        <f t="shared" si="3"/>
        <v>2850</v>
      </c>
    </row>
    <row r="21" ht="15.75" customHeight="1">
      <c r="A21" s="37">
        <v>45311.0</v>
      </c>
      <c r="B21" s="3">
        <f>50+15</f>
        <v>65</v>
      </c>
      <c r="C21" s="7">
        <v>150.0</v>
      </c>
      <c r="D21" s="7">
        <f t="shared" si="2"/>
        <v>2195</v>
      </c>
      <c r="E21" s="7">
        <f t="shared" si="3"/>
        <v>3000</v>
      </c>
    </row>
    <row r="22" ht="15.75" customHeight="1">
      <c r="A22" s="37">
        <v>45312.0</v>
      </c>
      <c r="B22" s="3">
        <f>115+40+15</f>
        <v>170</v>
      </c>
      <c r="C22" s="7">
        <v>150.0</v>
      </c>
      <c r="D22" s="7">
        <f t="shared" si="2"/>
        <v>2365</v>
      </c>
      <c r="E22" s="7">
        <f t="shared" si="3"/>
        <v>3150</v>
      </c>
    </row>
    <row r="23" ht="15.75" customHeight="1">
      <c r="A23" s="37">
        <v>45313.0</v>
      </c>
      <c r="B23" s="3">
        <v>50.0</v>
      </c>
      <c r="C23" s="7">
        <v>150.0</v>
      </c>
      <c r="D23" s="7">
        <f t="shared" si="2"/>
        <v>2415</v>
      </c>
      <c r="E23" s="7">
        <f t="shared" si="3"/>
        <v>3300</v>
      </c>
    </row>
    <row r="24" ht="15.75" customHeight="1">
      <c r="A24" s="37">
        <v>45314.0</v>
      </c>
      <c r="B24" s="3">
        <v>115.0</v>
      </c>
      <c r="C24" s="7">
        <v>150.0</v>
      </c>
      <c r="D24" s="7">
        <f t="shared" si="2"/>
        <v>2530</v>
      </c>
      <c r="E24" s="7">
        <f t="shared" si="3"/>
        <v>3450</v>
      </c>
    </row>
    <row r="25" ht="15.75" customHeight="1">
      <c r="A25" s="37">
        <v>45315.0</v>
      </c>
      <c r="B25" s="3">
        <v>150.0</v>
      </c>
      <c r="C25" s="7">
        <v>150.0</v>
      </c>
      <c r="D25" s="7">
        <f t="shared" si="2"/>
        <v>2680</v>
      </c>
      <c r="E25" s="7">
        <f t="shared" si="3"/>
        <v>3600</v>
      </c>
    </row>
    <row r="26" ht="15.75" customHeight="1">
      <c r="A26" s="37">
        <v>45316.0</v>
      </c>
      <c r="B26" s="3">
        <v>50.0</v>
      </c>
      <c r="C26" s="7">
        <v>150.0</v>
      </c>
      <c r="D26" s="7">
        <f t="shared" si="2"/>
        <v>2730</v>
      </c>
      <c r="E26" s="7">
        <f t="shared" si="3"/>
        <v>3750</v>
      </c>
    </row>
    <row r="27" ht="15.75" customHeight="1">
      <c r="A27" s="37">
        <v>45317.0</v>
      </c>
      <c r="B27" s="3">
        <f>800+70+60+120</f>
        <v>1050</v>
      </c>
      <c r="C27" s="7">
        <v>150.0</v>
      </c>
      <c r="D27" s="7">
        <f t="shared" si="2"/>
        <v>3780</v>
      </c>
      <c r="E27" s="7">
        <f t="shared" si="3"/>
        <v>3900</v>
      </c>
    </row>
    <row r="28" ht="15.75" customHeight="1">
      <c r="A28" s="37">
        <v>45318.0</v>
      </c>
      <c r="B28" s="3">
        <v>85.0</v>
      </c>
      <c r="C28" s="7">
        <v>150.0</v>
      </c>
      <c r="D28" s="7">
        <f t="shared" si="2"/>
        <v>3865</v>
      </c>
      <c r="E28" s="7">
        <f t="shared" si="3"/>
        <v>4050</v>
      </c>
    </row>
    <row r="29" ht="15.75" customHeight="1">
      <c r="A29" s="37">
        <v>45319.0</v>
      </c>
      <c r="B29" s="3">
        <v>120.0</v>
      </c>
      <c r="C29" s="7">
        <v>150.0</v>
      </c>
      <c r="D29" s="7">
        <f t="shared" si="2"/>
        <v>3985</v>
      </c>
      <c r="E29" s="7">
        <f t="shared" si="3"/>
        <v>4200</v>
      </c>
    </row>
    <row r="30" ht="15.75" customHeight="1">
      <c r="A30" s="37">
        <v>45320.0</v>
      </c>
      <c r="B30" s="3">
        <v>110.0</v>
      </c>
      <c r="C30" s="7">
        <v>150.0</v>
      </c>
      <c r="D30" s="7">
        <f t="shared" si="2"/>
        <v>4095</v>
      </c>
      <c r="E30" s="7">
        <f t="shared" si="3"/>
        <v>4350</v>
      </c>
    </row>
    <row r="31" ht="15.75" customHeight="1">
      <c r="A31" s="37">
        <v>45321.0</v>
      </c>
      <c r="B31" s="3">
        <v>50.0</v>
      </c>
      <c r="C31" s="7">
        <v>150.0</v>
      </c>
      <c r="D31" s="7">
        <f t="shared" si="2"/>
        <v>4145</v>
      </c>
      <c r="E31" s="7">
        <f t="shared" si="3"/>
        <v>4500</v>
      </c>
    </row>
    <row r="32" ht="15.75" customHeight="1">
      <c r="A32" s="37">
        <v>45322.0</v>
      </c>
      <c r="B32" s="3">
        <v>80.0</v>
      </c>
      <c r="C32" s="7">
        <v>150.0</v>
      </c>
      <c r="D32" s="7">
        <f t="shared" si="2"/>
        <v>4225</v>
      </c>
      <c r="E32" s="7">
        <f t="shared" si="3"/>
        <v>4650</v>
      </c>
    </row>
    <row r="33" ht="15.75" customHeight="1">
      <c r="A33" s="35">
        <v>45323.0</v>
      </c>
      <c r="B33" s="7">
        <v>120.0</v>
      </c>
      <c r="C33" s="7">
        <v>150.0</v>
      </c>
      <c r="D33" s="7">
        <v>120.0</v>
      </c>
      <c r="E33" s="7">
        <v>150.0</v>
      </c>
    </row>
    <row r="34" ht="15.75" customHeight="1">
      <c r="A34" s="35">
        <v>45324.0</v>
      </c>
      <c r="B34" s="7">
        <v>50.0</v>
      </c>
      <c r="C34" s="7">
        <v>150.0</v>
      </c>
      <c r="D34" s="7">
        <v>170.0</v>
      </c>
      <c r="E34" s="7">
        <v>300.0</v>
      </c>
    </row>
    <row r="35" ht="15.75" customHeight="1">
      <c r="A35" s="35">
        <v>45325.0</v>
      </c>
      <c r="B35" s="7">
        <v>95.0</v>
      </c>
      <c r="C35" s="7">
        <v>150.0</v>
      </c>
      <c r="D35" s="7">
        <v>265.0</v>
      </c>
      <c r="E35" s="7">
        <v>450.0</v>
      </c>
    </row>
    <row r="36" ht="15.75" customHeight="1">
      <c r="A36" s="35">
        <v>45326.0</v>
      </c>
      <c r="B36" s="7">
        <v>270.0</v>
      </c>
      <c r="C36" s="7">
        <v>150.0</v>
      </c>
      <c r="D36" s="7">
        <v>535.0</v>
      </c>
      <c r="E36" s="7">
        <v>600.0</v>
      </c>
    </row>
    <row r="37" ht="15.75" customHeight="1">
      <c r="A37" s="35">
        <v>45327.0</v>
      </c>
      <c r="B37" s="7">
        <v>110.0</v>
      </c>
      <c r="C37" s="7">
        <v>150.0</v>
      </c>
      <c r="D37" s="7">
        <v>645.0</v>
      </c>
      <c r="E37" s="7">
        <v>750.0</v>
      </c>
    </row>
    <row r="38" ht="15.75" customHeight="1">
      <c r="A38" s="35">
        <v>45328.0</v>
      </c>
      <c r="B38" s="7">
        <v>100.0</v>
      </c>
      <c r="C38" s="7">
        <v>150.0</v>
      </c>
      <c r="D38" s="7">
        <v>745.0</v>
      </c>
      <c r="E38" s="7">
        <v>900.0</v>
      </c>
    </row>
    <row r="39" ht="15.75" customHeight="1">
      <c r="A39" s="35">
        <v>45329.0</v>
      </c>
      <c r="B39" s="7">
        <v>50.0</v>
      </c>
      <c r="C39" s="7">
        <v>150.0</v>
      </c>
      <c r="D39" s="7">
        <v>795.0</v>
      </c>
      <c r="E39" s="7">
        <v>1050.0</v>
      </c>
    </row>
    <row r="40" ht="15.75" customHeight="1">
      <c r="A40" s="35">
        <v>45330.0</v>
      </c>
      <c r="B40" s="7">
        <v>110.0</v>
      </c>
      <c r="C40" s="7">
        <v>150.0</v>
      </c>
      <c r="D40" s="7">
        <v>905.0</v>
      </c>
      <c r="E40" s="7">
        <v>1200.0</v>
      </c>
    </row>
    <row r="41" ht="15.75" customHeight="1">
      <c r="A41" s="35">
        <v>45331.0</v>
      </c>
      <c r="B41" s="7">
        <v>54.0</v>
      </c>
      <c r="C41" s="7">
        <v>150.0</v>
      </c>
      <c r="D41" s="7">
        <v>959.0</v>
      </c>
      <c r="E41" s="7">
        <v>1350.0</v>
      </c>
    </row>
    <row r="42" ht="15.75" customHeight="1">
      <c r="A42" s="35">
        <v>45332.0</v>
      </c>
      <c r="B42" s="7">
        <v>100.0</v>
      </c>
      <c r="C42" s="7">
        <v>150.0</v>
      </c>
      <c r="D42" s="7">
        <v>1059.0</v>
      </c>
      <c r="E42" s="7">
        <v>1500.0</v>
      </c>
    </row>
    <row r="43" ht="15.75" customHeight="1">
      <c r="A43" s="35">
        <v>45333.0</v>
      </c>
      <c r="B43" s="7">
        <v>90.0</v>
      </c>
      <c r="C43" s="7">
        <v>150.0</v>
      </c>
      <c r="D43" s="7">
        <v>1149.0</v>
      </c>
      <c r="E43" s="7">
        <v>1650.0</v>
      </c>
    </row>
    <row r="44" ht="15.75" customHeight="1">
      <c r="A44" s="35">
        <v>45334.0</v>
      </c>
      <c r="B44" s="7">
        <v>115.0</v>
      </c>
      <c r="C44" s="7">
        <v>150.0</v>
      </c>
      <c r="D44" s="7">
        <v>1264.0</v>
      </c>
      <c r="E44" s="7">
        <v>1800.0</v>
      </c>
    </row>
    <row r="45" ht="15.75" customHeight="1">
      <c r="A45" s="35">
        <v>45335.0</v>
      </c>
      <c r="B45" s="7">
        <v>150.0</v>
      </c>
      <c r="C45" s="7">
        <v>150.0</v>
      </c>
      <c r="D45" s="7">
        <v>1414.0</v>
      </c>
      <c r="E45" s="7">
        <v>1950.0</v>
      </c>
    </row>
    <row r="46" ht="15.75" customHeight="1">
      <c r="A46" s="35">
        <v>45336.0</v>
      </c>
      <c r="B46" s="7">
        <v>95.0</v>
      </c>
      <c r="C46" s="7">
        <v>150.0</v>
      </c>
      <c r="D46" s="7">
        <v>1509.0</v>
      </c>
      <c r="E46" s="7">
        <v>2100.0</v>
      </c>
    </row>
    <row r="47" ht="15.75" customHeight="1">
      <c r="A47" s="35">
        <v>45337.0</v>
      </c>
      <c r="B47" s="7">
        <v>155.0</v>
      </c>
      <c r="C47" s="7">
        <v>150.0</v>
      </c>
      <c r="D47" s="7">
        <v>1664.0</v>
      </c>
      <c r="E47" s="7">
        <v>2250.0</v>
      </c>
    </row>
    <row r="48" ht="15.75" customHeight="1">
      <c r="A48" s="35">
        <v>45338.0</v>
      </c>
      <c r="B48" s="7">
        <v>230.0</v>
      </c>
      <c r="C48" s="7">
        <v>150.0</v>
      </c>
      <c r="D48" s="7">
        <v>1894.0</v>
      </c>
      <c r="E48" s="7">
        <v>2400.0</v>
      </c>
    </row>
    <row r="49" ht="15.75" customHeight="1">
      <c r="A49" s="35">
        <v>45339.0</v>
      </c>
      <c r="B49" s="7">
        <v>90.0</v>
      </c>
      <c r="C49" s="7">
        <v>150.0</v>
      </c>
      <c r="D49" s="7">
        <v>1984.0</v>
      </c>
      <c r="E49" s="7">
        <v>2550.0</v>
      </c>
    </row>
    <row r="50" ht="15.75" customHeight="1">
      <c r="A50" s="35">
        <v>45340.0</v>
      </c>
      <c r="B50" s="7">
        <v>120.0</v>
      </c>
      <c r="C50" s="7">
        <v>150.0</v>
      </c>
      <c r="D50" s="7">
        <v>2104.0</v>
      </c>
      <c r="E50" s="7">
        <v>2700.0</v>
      </c>
    </row>
    <row r="51" ht="15.75" customHeight="1">
      <c r="A51" s="35">
        <v>45341.0</v>
      </c>
      <c r="B51" s="7">
        <v>115.0</v>
      </c>
      <c r="C51" s="7">
        <v>150.0</v>
      </c>
      <c r="D51" s="7">
        <v>2219.0</v>
      </c>
      <c r="E51" s="7">
        <v>2850.0</v>
      </c>
    </row>
    <row r="52" ht="15.75" customHeight="1">
      <c r="A52" s="35">
        <v>45342.0</v>
      </c>
      <c r="B52" s="7">
        <v>95.0</v>
      </c>
      <c r="C52" s="7">
        <v>150.0</v>
      </c>
      <c r="D52" s="7">
        <v>2314.0</v>
      </c>
      <c r="E52" s="7">
        <v>3000.0</v>
      </c>
    </row>
    <row r="53" ht="15.75" customHeight="1">
      <c r="A53" s="35">
        <v>45343.0</v>
      </c>
      <c r="B53" s="7">
        <v>40.0</v>
      </c>
      <c r="C53" s="7">
        <v>150.0</v>
      </c>
      <c r="D53" s="7">
        <v>2354.0</v>
      </c>
      <c r="E53" s="7">
        <v>3150.0</v>
      </c>
    </row>
    <row r="54" ht="15.75" customHeight="1">
      <c r="A54" s="35">
        <v>45344.0</v>
      </c>
      <c r="B54" s="7">
        <v>150.0</v>
      </c>
      <c r="C54" s="7">
        <v>150.0</v>
      </c>
      <c r="D54" s="7">
        <v>2504.0</v>
      </c>
      <c r="E54" s="7">
        <v>3300.0</v>
      </c>
    </row>
    <row r="55" ht="15.75" customHeight="1">
      <c r="A55" s="35">
        <v>45345.0</v>
      </c>
      <c r="B55" s="7">
        <v>120.0</v>
      </c>
      <c r="C55" s="7">
        <v>150.0</v>
      </c>
      <c r="D55" s="7">
        <v>2624.0</v>
      </c>
      <c r="E55" s="7">
        <v>3450.0</v>
      </c>
    </row>
    <row r="56" ht="15.75" customHeight="1">
      <c r="A56" s="35">
        <v>45346.0</v>
      </c>
      <c r="B56" s="7">
        <v>142.0</v>
      </c>
      <c r="C56" s="7">
        <v>150.0</v>
      </c>
      <c r="D56" s="7">
        <v>2766.0</v>
      </c>
      <c r="E56" s="7">
        <v>3600.0</v>
      </c>
    </row>
    <row r="57" ht="15.75" customHeight="1">
      <c r="A57" s="35">
        <v>45347.0</v>
      </c>
      <c r="B57" s="7">
        <v>445.0</v>
      </c>
      <c r="C57" s="7">
        <v>150.0</v>
      </c>
      <c r="D57" s="7">
        <v>3211.0</v>
      </c>
      <c r="E57" s="7">
        <v>3750.0</v>
      </c>
    </row>
    <row r="58" ht="15.75" customHeight="1">
      <c r="A58" s="35">
        <v>45348.0</v>
      </c>
      <c r="B58" s="7">
        <v>110.0</v>
      </c>
      <c r="C58" s="7">
        <v>150.0</v>
      </c>
      <c r="D58" s="7">
        <v>3321.0</v>
      </c>
      <c r="E58" s="7">
        <v>3900.0</v>
      </c>
    </row>
    <row r="59" ht="15.75" customHeight="1">
      <c r="A59" s="35">
        <v>45349.0</v>
      </c>
      <c r="B59" s="7">
        <v>50.0</v>
      </c>
      <c r="C59" s="7">
        <v>150.0</v>
      </c>
      <c r="D59" s="7">
        <v>3371.0</v>
      </c>
      <c r="E59" s="7">
        <v>4050.0</v>
      </c>
    </row>
    <row r="60" ht="15.75" customHeight="1">
      <c r="A60" s="35">
        <v>45350.0</v>
      </c>
      <c r="B60" s="7">
        <v>50.0</v>
      </c>
      <c r="C60" s="7">
        <v>150.0</v>
      </c>
      <c r="D60" s="7">
        <v>3421.0</v>
      </c>
      <c r="E60" s="7">
        <v>4200.0</v>
      </c>
    </row>
    <row r="61" ht="15.75" customHeight="1">
      <c r="A61" s="35">
        <v>45351.0</v>
      </c>
      <c r="C61" s="7">
        <v>150.0</v>
      </c>
      <c r="D61" s="7">
        <v>3421.0</v>
      </c>
      <c r="E61" s="7">
        <v>4350.0</v>
      </c>
    </row>
    <row r="62" ht="15.75" customHeight="1">
      <c r="A62" s="35">
        <v>45352.0</v>
      </c>
      <c r="C62" s="7">
        <v>150.0</v>
      </c>
      <c r="D62" s="7">
        <v>0.0</v>
      </c>
      <c r="E62" s="7">
        <v>150.0</v>
      </c>
      <c r="G62" s="37" t="s">
        <v>12</v>
      </c>
      <c r="H62" s="3">
        <v>1040.0</v>
      </c>
    </row>
    <row r="63" ht="15.75" customHeight="1">
      <c r="A63" s="35">
        <v>45353.0</v>
      </c>
      <c r="C63" s="7">
        <v>150.0</v>
      </c>
      <c r="D63" s="7">
        <v>0.0</v>
      </c>
      <c r="E63" s="7">
        <v>300.0</v>
      </c>
      <c r="G63" s="37" t="s">
        <v>10</v>
      </c>
      <c r="H63" s="3">
        <v>8000.0</v>
      </c>
    </row>
    <row r="64" ht="15.75" customHeight="1">
      <c r="A64" s="35">
        <v>45354.0</v>
      </c>
      <c r="C64" s="7">
        <v>150.0</v>
      </c>
      <c r="D64" s="7">
        <v>0.0</v>
      </c>
      <c r="E64" s="7">
        <v>450.0</v>
      </c>
      <c r="G64" s="37" t="s">
        <v>129</v>
      </c>
      <c r="H64" s="3">
        <v>2300.0</v>
      </c>
    </row>
    <row r="65" ht="15.75" customHeight="1">
      <c r="A65" s="35">
        <v>45355.0</v>
      </c>
      <c r="C65" s="7">
        <v>150.0</v>
      </c>
      <c r="D65" s="7">
        <v>0.0</v>
      </c>
      <c r="E65" s="7">
        <v>600.0</v>
      </c>
      <c r="G65" s="37" t="s">
        <v>14</v>
      </c>
      <c r="H65" s="3">
        <v>2000.0</v>
      </c>
    </row>
    <row r="66" ht="15.75" customHeight="1">
      <c r="A66" s="35">
        <v>45356.0</v>
      </c>
      <c r="C66" s="7">
        <v>150.0</v>
      </c>
      <c r="D66" s="7">
        <v>0.0</v>
      </c>
      <c r="E66" s="7">
        <v>750.0</v>
      </c>
      <c r="G66" s="37" t="s">
        <v>23</v>
      </c>
      <c r="H66" s="3">
        <v>1000.0</v>
      </c>
    </row>
    <row r="67" ht="15.75" customHeight="1">
      <c r="A67" s="35">
        <v>45357.0</v>
      </c>
      <c r="B67" s="7">
        <v>120.0</v>
      </c>
      <c r="C67" s="7">
        <v>150.0</v>
      </c>
      <c r="D67" s="7">
        <v>120.0</v>
      </c>
      <c r="E67" s="7">
        <v>900.0</v>
      </c>
      <c r="G67" s="37" t="s">
        <v>125</v>
      </c>
      <c r="H67" s="3">
        <v>500.0</v>
      </c>
    </row>
    <row r="68" ht="15.75" customHeight="1">
      <c r="A68" s="35">
        <v>45358.0</v>
      </c>
      <c r="B68" s="7">
        <v>170.0</v>
      </c>
      <c r="C68" s="7">
        <v>150.0</v>
      </c>
      <c r="D68" s="7">
        <v>290.0</v>
      </c>
      <c r="E68" s="7">
        <v>1050.0</v>
      </c>
      <c r="G68" s="37" t="s">
        <v>11</v>
      </c>
      <c r="H68" s="7">
        <v>4035.0</v>
      </c>
    </row>
    <row r="69" ht="15.75" customHeight="1">
      <c r="A69" s="35">
        <v>45359.0</v>
      </c>
      <c r="B69" s="7">
        <v>195.0</v>
      </c>
      <c r="C69" s="7">
        <v>150.0</v>
      </c>
      <c r="D69" s="7">
        <v>485.0</v>
      </c>
      <c r="E69" s="7">
        <v>1200.0</v>
      </c>
    </row>
    <row r="70" ht="15.75" customHeight="1">
      <c r="A70" s="35">
        <v>45360.0</v>
      </c>
      <c r="B70" s="7">
        <v>80.0</v>
      </c>
      <c r="C70" s="7">
        <v>150.0</v>
      </c>
      <c r="D70" s="7">
        <v>565.0</v>
      </c>
      <c r="E70" s="7">
        <v>1350.0</v>
      </c>
    </row>
    <row r="71" ht="15.75" customHeight="1">
      <c r="A71" s="35">
        <v>45361.0</v>
      </c>
      <c r="B71" s="7">
        <v>135.0</v>
      </c>
      <c r="C71" s="7">
        <v>150.0</v>
      </c>
      <c r="D71" s="7">
        <v>700.0</v>
      </c>
      <c r="E71" s="7">
        <v>1500.0</v>
      </c>
    </row>
    <row r="72" ht="15.75" customHeight="1">
      <c r="A72" s="35">
        <v>45362.0</v>
      </c>
      <c r="B72" s="7">
        <v>85.0</v>
      </c>
      <c r="C72" s="7">
        <v>150.0</v>
      </c>
      <c r="D72" s="7">
        <v>785.0</v>
      </c>
      <c r="E72" s="7">
        <v>1650.0</v>
      </c>
    </row>
    <row r="73" ht="15.75" customHeight="1">
      <c r="A73" s="35">
        <v>45363.0</v>
      </c>
      <c r="B73" s="7">
        <v>95.0</v>
      </c>
      <c r="C73" s="7">
        <v>150.0</v>
      </c>
      <c r="D73" s="7">
        <v>880.0</v>
      </c>
      <c r="E73" s="7">
        <v>1800.0</v>
      </c>
    </row>
    <row r="74" ht="15.75" customHeight="1">
      <c r="A74" s="35">
        <v>45364.0</v>
      </c>
      <c r="B74" s="7">
        <v>105.0</v>
      </c>
      <c r="C74" s="7">
        <v>150.0</v>
      </c>
      <c r="D74" s="7">
        <v>985.0</v>
      </c>
      <c r="E74" s="7">
        <v>1950.0</v>
      </c>
    </row>
    <row r="75" ht="15.75" customHeight="1">
      <c r="A75" s="35">
        <v>45365.0</v>
      </c>
      <c r="B75" s="7">
        <v>75.0</v>
      </c>
      <c r="C75" s="7">
        <v>150.0</v>
      </c>
      <c r="D75" s="7">
        <v>1060.0</v>
      </c>
      <c r="E75" s="7">
        <v>2100.0</v>
      </c>
    </row>
    <row r="76" ht="15.75" customHeight="1">
      <c r="A76" s="35">
        <v>45366.0</v>
      </c>
      <c r="B76" s="7">
        <v>65.0</v>
      </c>
      <c r="C76" s="7">
        <v>150.0</v>
      </c>
      <c r="D76" s="7">
        <v>1125.0</v>
      </c>
      <c r="E76" s="7">
        <v>2250.0</v>
      </c>
    </row>
    <row r="77" ht="15.75" customHeight="1">
      <c r="A77" s="35">
        <v>45367.0</v>
      </c>
      <c r="B77" s="7">
        <v>100.0</v>
      </c>
      <c r="C77" s="7">
        <v>150.0</v>
      </c>
      <c r="D77" s="7">
        <v>1225.0</v>
      </c>
      <c r="E77" s="7">
        <v>2400.0</v>
      </c>
    </row>
    <row r="78" ht="15.75" customHeight="1">
      <c r="A78" s="35">
        <v>45368.0</v>
      </c>
      <c r="B78" s="7">
        <v>515.0</v>
      </c>
      <c r="C78" s="7">
        <v>150.0</v>
      </c>
      <c r="D78" s="7">
        <v>1740.0</v>
      </c>
      <c r="E78" s="7">
        <v>2550.0</v>
      </c>
    </row>
    <row r="79" ht="15.75" customHeight="1">
      <c r="A79" s="35">
        <v>45369.0</v>
      </c>
      <c r="B79" s="7">
        <v>110.0</v>
      </c>
      <c r="C79" s="7">
        <v>150.0</v>
      </c>
      <c r="D79" s="7">
        <v>1850.0</v>
      </c>
      <c r="E79" s="7">
        <v>2700.0</v>
      </c>
    </row>
    <row r="80" ht="15.75" customHeight="1">
      <c r="A80" s="35">
        <v>45370.0</v>
      </c>
      <c r="B80" s="7">
        <v>120.0</v>
      </c>
      <c r="C80" s="7">
        <v>150.0</v>
      </c>
      <c r="D80" s="7">
        <v>1970.0</v>
      </c>
      <c r="E80" s="7">
        <v>2850.0</v>
      </c>
    </row>
    <row r="81" ht="15.75" customHeight="1">
      <c r="A81" s="35">
        <v>45371.0</v>
      </c>
      <c r="B81" s="7">
        <v>155.0</v>
      </c>
      <c r="C81" s="7">
        <v>150.0</v>
      </c>
      <c r="D81" s="7">
        <v>2125.0</v>
      </c>
      <c r="E81" s="7">
        <v>3000.0</v>
      </c>
    </row>
    <row r="82" ht="15.75" customHeight="1">
      <c r="A82" s="35">
        <v>45372.0</v>
      </c>
      <c r="B82" s="7">
        <v>85.0</v>
      </c>
      <c r="C82" s="7">
        <v>150.0</v>
      </c>
      <c r="D82" s="7">
        <v>2210.0</v>
      </c>
      <c r="E82" s="7">
        <v>3150.0</v>
      </c>
    </row>
    <row r="83" ht="15.75" customHeight="1">
      <c r="A83" s="35">
        <v>45373.0</v>
      </c>
      <c r="B83" s="7">
        <v>207.0</v>
      </c>
      <c r="C83" s="7">
        <v>150.0</v>
      </c>
      <c r="D83" s="7">
        <v>2417.0</v>
      </c>
      <c r="E83" s="7">
        <v>3300.0</v>
      </c>
    </row>
    <row r="84" ht="15.75" customHeight="1">
      <c r="A84" s="35">
        <v>45374.0</v>
      </c>
      <c r="B84" s="7">
        <v>220.0</v>
      </c>
      <c r="C84" s="7">
        <v>150.0</v>
      </c>
      <c r="D84" s="7">
        <v>2637.0</v>
      </c>
      <c r="E84" s="7">
        <v>3450.0</v>
      </c>
    </row>
    <row r="85" ht="15.75" customHeight="1">
      <c r="A85" s="35">
        <v>45375.0</v>
      </c>
      <c r="B85" s="7">
        <v>235.0</v>
      </c>
      <c r="C85" s="7">
        <v>150.0</v>
      </c>
      <c r="D85" s="7">
        <v>2872.0</v>
      </c>
      <c r="E85" s="7">
        <v>3600.0</v>
      </c>
    </row>
    <row r="86" ht="15.75" customHeight="1">
      <c r="A86" s="35">
        <v>45376.0</v>
      </c>
      <c r="B86" s="7">
        <v>115.0</v>
      </c>
      <c r="C86" s="7">
        <v>150.0</v>
      </c>
      <c r="D86" s="7">
        <v>2987.0</v>
      </c>
      <c r="E86" s="7">
        <v>3750.0</v>
      </c>
    </row>
    <row r="87" ht="15.75" customHeight="1">
      <c r="A87" s="35">
        <v>45377.0</v>
      </c>
      <c r="B87" s="7">
        <v>123.0</v>
      </c>
      <c r="C87" s="7">
        <v>150.0</v>
      </c>
      <c r="D87" s="7">
        <v>3110.0</v>
      </c>
      <c r="E87" s="7">
        <v>3900.0</v>
      </c>
    </row>
    <row r="88" ht="15.75" customHeight="1">
      <c r="A88" s="35">
        <v>45378.0</v>
      </c>
      <c r="B88" s="7">
        <v>165.0</v>
      </c>
      <c r="C88" s="7">
        <v>150.0</v>
      </c>
      <c r="D88" s="7">
        <v>3275.0</v>
      </c>
      <c r="E88" s="7">
        <v>4050.0</v>
      </c>
    </row>
    <row r="89" ht="15.75" customHeight="1">
      <c r="A89" s="35">
        <v>45379.0</v>
      </c>
      <c r="B89" s="7">
        <v>85.0</v>
      </c>
      <c r="C89" s="7">
        <v>150.0</v>
      </c>
      <c r="D89" s="7">
        <v>3360.0</v>
      </c>
      <c r="E89" s="7">
        <v>4200.0</v>
      </c>
    </row>
    <row r="90" ht="15.75" customHeight="1">
      <c r="A90" s="35">
        <v>45380.0</v>
      </c>
      <c r="B90" s="7">
        <v>145.0</v>
      </c>
      <c r="C90" s="7">
        <v>150.0</v>
      </c>
      <c r="D90" s="7">
        <v>3505.0</v>
      </c>
      <c r="E90" s="7">
        <v>4350.0</v>
      </c>
    </row>
    <row r="91" ht="15.75" customHeight="1">
      <c r="A91" s="35">
        <v>45381.0</v>
      </c>
      <c r="B91" s="7">
        <v>245.0</v>
      </c>
      <c r="C91" s="7">
        <v>150.0</v>
      </c>
      <c r="D91" s="7">
        <v>3750.0</v>
      </c>
      <c r="E91" s="7">
        <v>4500.0</v>
      </c>
    </row>
    <row r="92" ht="15.75" customHeight="1">
      <c r="A92" s="35">
        <v>45382.0</v>
      </c>
      <c r="B92" s="7">
        <v>285.0</v>
      </c>
      <c r="C92" s="7">
        <v>150.0</v>
      </c>
      <c r="D92" s="7">
        <v>4035.0</v>
      </c>
      <c r="E92" s="7">
        <v>4650.0</v>
      </c>
    </row>
    <row r="93" ht="15.75" customHeight="1">
      <c r="A93" s="37">
        <v>45383.0</v>
      </c>
      <c r="B93" s="3">
        <f>40+60+10</f>
        <v>110</v>
      </c>
      <c r="C93" s="7">
        <v>150.0</v>
      </c>
      <c r="D93" s="7">
        <f t="shared" ref="D93:E93" si="4">B93</f>
        <v>110</v>
      </c>
      <c r="E93" s="7">
        <f t="shared" si="4"/>
        <v>150</v>
      </c>
      <c r="G93" s="3" t="s">
        <v>10</v>
      </c>
      <c r="H93" s="3">
        <v>8000.0</v>
      </c>
    </row>
    <row r="94" ht="15.75" customHeight="1">
      <c r="A94" s="37">
        <v>45384.0</v>
      </c>
      <c r="B94" s="3">
        <f>43+68+20</f>
        <v>131</v>
      </c>
      <c r="C94" s="7">
        <v>150.0</v>
      </c>
      <c r="D94" s="7">
        <f t="shared" ref="D94:D122" si="5">D93+B94</f>
        <v>241</v>
      </c>
      <c r="E94" s="7">
        <f t="shared" ref="E94:E122" si="6">E93+150</f>
        <v>300</v>
      </c>
      <c r="G94" s="3" t="s">
        <v>8</v>
      </c>
      <c r="H94" s="3">
        <v>2000.0</v>
      </c>
    </row>
    <row r="95" ht="15.75" customHeight="1">
      <c r="A95" s="37">
        <v>45385.0</v>
      </c>
      <c r="B95" s="3">
        <f>41+70+10+320</f>
        <v>441</v>
      </c>
      <c r="C95" s="7">
        <v>150.0</v>
      </c>
      <c r="D95" s="7">
        <f t="shared" si="5"/>
        <v>682</v>
      </c>
      <c r="E95" s="7">
        <f t="shared" si="6"/>
        <v>450</v>
      </c>
      <c r="G95" s="3" t="s">
        <v>23</v>
      </c>
      <c r="H95" s="3">
        <v>1700.0</v>
      </c>
    </row>
    <row r="96" ht="15.75" customHeight="1">
      <c r="A96" s="37">
        <v>45386.0</v>
      </c>
      <c r="C96" s="7">
        <v>150.0</v>
      </c>
      <c r="D96" s="7">
        <f t="shared" si="5"/>
        <v>682</v>
      </c>
      <c r="E96" s="7">
        <f t="shared" si="6"/>
        <v>600</v>
      </c>
      <c r="G96" s="3" t="s">
        <v>12</v>
      </c>
      <c r="H96" s="3">
        <v>1500.0</v>
      </c>
    </row>
    <row r="97" ht="15.75" customHeight="1">
      <c r="A97" s="37">
        <v>45387.0</v>
      </c>
      <c r="C97" s="7">
        <v>150.0</v>
      </c>
      <c r="D97" s="7">
        <f t="shared" si="5"/>
        <v>682</v>
      </c>
      <c r="E97" s="7">
        <f t="shared" si="6"/>
        <v>750</v>
      </c>
      <c r="G97" s="3" t="s">
        <v>14</v>
      </c>
      <c r="H97" s="3">
        <v>3000.0</v>
      </c>
    </row>
    <row r="98" ht="15.75" customHeight="1">
      <c r="A98" s="37">
        <v>45388.0</v>
      </c>
      <c r="C98" s="7">
        <v>150.0</v>
      </c>
      <c r="D98" s="7">
        <f t="shared" si="5"/>
        <v>682</v>
      </c>
      <c r="E98" s="7">
        <f t="shared" si="6"/>
        <v>900</v>
      </c>
      <c r="G98" s="3" t="s">
        <v>126</v>
      </c>
      <c r="H98" s="3">
        <v>750.0</v>
      </c>
    </row>
    <row r="99" ht="15.75" customHeight="1">
      <c r="A99" s="37">
        <v>45389.0</v>
      </c>
      <c r="C99" s="7">
        <v>150.0</v>
      </c>
      <c r="D99" s="7">
        <f t="shared" si="5"/>
        <v>682</v>
      </c>
      <c r="E99" s="7">
        <f t="shared" si="6"/>
        <v>1050</v>
      </c>
      <c r="G99" s="3" t="s">
        <v>7</v>
      </c>
      <c r="H99" s="3">
        <v>300.0</v>
      </c>
    </row>
    <row r="100" ht="15.75" customHeight="1">
      <c r="A100" s="37">
        <v>45390.0</v>
      </c>
      <c r="C100" s="7">
        <v>150.0</v>
      </c>
      <c r="D100" s="7">
        <f t="shared" si="5"/>
        <v>682</v>
      </c>
      <c r="E100" s="7">
        <f t="shared" si="6"/>
        <v>1200</v>
      </c>
      <c r="G100" s="7" t="s">
        <v>11</v>
      </c>
      <c r="H100" s="39">
        <f>'JAN 24'!D122</f>
        <v>3137</v>
      </c>
    </row>
    <row r="101" ht="15.75" customHeight="1">
      <c r="A101" s="37">
        <v>45391.0</v>
      </c>
      <c r="C101" s="7">
        <v>150.0</v>
      </c>
      <c r="D101" s="7">
        <f t="shared" si="5"/>
        <v>682</v>
      </c>
      <c r="E101" s="7">
        <f t="shared" si="6"/>
        <v>1350</v>
      </c>
    </row>
    <row r="102" ht="15.75" customHeight="1">
      <c r="A102" s="37">
        <v>45392.0</v>
      </c>
      <c r="C102" s="7">
        <v>150.0</v>
      </c>
      <c r="D102" s="7">
        <f t="shared" si="5"/>
        <v>682</v>
      </c>
      <c r="E102" s="7">
        <f t="shared" si="6"/>
        <v>1500</v>
      </c>
    </row>
    <row r="103" ht="15.75" customHeight="1">
      <c r="A103" s="37">
        <v>45393.0</v>
      </c>
      <c r="B103" s="3">
        <f>60+35+60+10</f>
        <v>165</v>
      </c>
      <c r="C103" s="7">
        <v>150.0</v>
      </c>
      <c r="D103" s="7">
        <f t="shared" si="5"/>
        <v>847</v>
      </c>
      <c r="E103" s="7">
        <f t="shared" si="6"/>
        <v>1650</v>
      </c>
    </row>
    <row r="104" ht="15.75" customHeight="1">
      <c r="A104" s="37">
        <v>45394.0</v>
      </c>
      <c r="B104" s="3">
        <f>35+50+40+10</f>
        <v>135</v>
      </c>
      <c r="C104" s="7">
        <v>150.0</v>
      </c>
      <c r="D104" s="7">
        <f t="shared" si="5"/>
        <v>982</v>
      </c>
      <c r="E104" s="7">
        <f t="shared" si="6"/>
        <v>1800</v>
      </c>
    </row>
    <row r="105" ht="15.75" customHeight="1">
      <c r="A105" s="37">
        <v>45395.0</v>
      </c>
      <c r="B105" s="3">
        <f>40+35+80+20</f>
        <v>175</v>
      </c>
      <c r="C105" s="7">
        <v>150.0</v>
      </c>
      <c r="D105" s="7">
        <f t="shared" si="5"/>
        <v>1157</v>
      </c>
      <c r="E105" s="7">
        <f t="shared" si="6"/>
        <v>1950</v>
      </c>
    </row>
    <row r="106" ht="15.75" customHeight="1">
      <c r="A106" s="37">
        <v>45396.0</v>
      </c>
      <c r="B106" s="3">
        <f>70+20+12+70</f>
        <v>172</v>
      </c>
      <c r="C106" s="7">
        <v>150.0</v>
      </c>
      <c r="D106" s="7">
        <f t="shared" si="5"/>
        <v>1329</v>
      </c>
      <c r="E106" s="7">
        <f t="shared" si="6"/>
        <v>2100</v>
      </c>
    </row>
    <row r="107" ht="15.75" customHeight="1">
      <c r="A107" s="37">
        <v>45397.0</v>
      </c>
      <c r="B107" s="3">
        <v>110.0</v>
      </c>
      <c r="C107" s="7">
        <v>150.0</v>
      </c>
      <c r="D107" s="7">
        <f t="shared" si="5"/>
        <v>1439</v>
      </c>
      <c r="E107" s="7">
        <f t="shared" si="6"/>
        <v>2250</v>
      </c>
    </row>
    <row r="108" ht="15.75" customHeight="1">
      <c r="A108" s="37">
        <v>45398.0</v>
      </c>
      <c r="B108" s="3">
        <v>75.0</v>
      </c>
      <c r="C108" s="7">
        <v>150.0</v>
      </c>
      <c r="D108" s="7">
        <f t="shared" si="5"/>
        <v>1514</v>
      </c>
      <c r="E108" s="7">
        <f t="shared" si="6"/>
        <v>2400</v>
      </c>
    </row>
    <row r="109" ht="15.75" customHeight="1">
      <c r="A109" s="37">
        <v>45399.0</v>
      </c>
      <c r="B109" s="40">
        <f>85+40+10</f>
        <v>135</v>
      </c>
      <c r="C109" s="7">
        <v>150.0</v>
      </c>
      <c r="D109" s="39">
        <f t="shared" si="5"/>
        <v>1649</v>
      </c>
      <c r="E109" s="7">
        <f t="shared" si="6"/>
        <v>2550</v>
      </c>
    </row>
    <row r="110" ht="15.75" customHeight="1">
      <c r="A110" s="37">
        <v>45400.0</v>
      </c>
      <c r="B110" s="3">
        <f>35+10+20</f>
        <v>65</v>
      </c>
      <c r="C110" s="7">
        <v>150.0</v>
      </c>
      <c r="D110" s="39">
        <f t="shared" si="5"/>
        <v>1714</v>
      </c>
      <c r="E110" s="7">
        <f t="shared" si="6"/>
        <v>2700</v>
      </c>
    </row>
    <row r="111" ht="15.75" customHeight="1">
      <c r="A111" s="37">
        <v>45401.0</v>
      </c>
      <c r="B111" s="3">
        <f>50+40+10</f>
        <v>100</v>
      </c>
      <c r="C111" s="7">
        <v>150.0</v>
      </c>
      <c r="D111" s="39">
        <f t="shared" si="5"/>
        <v>1814</v>
      </c>
      <c r="E111" s="7">
        <f t="shared" si="6"/>
        <v>2850</v>
      </c>
    </row>
    <row r="112" ht="15.75" customHeight="1">
      <c r="A112" s="37">
        <v>45402.0</v>
      </c>
      <c r="B112" s="3">
        <v>80.0</v>
      </c>
      <c r="C112" s="7">
        <v>150.0</v>
      </c>
      <c r="D112" s="39">
        <f t="shared" si="5"/>
        <v>1894</v>
      </c>
      <c r="E112" s="7">
        <f t="shared" si="6"/>
        <v>3000</v>
      </c>
    </row>
    <row r="113" ht="15.75" customHeight="1">
      <c r="A113" s="37">
        <v>45403.0</v>
      </c>
      <c r="B113" s="3">
        <f>70+190+45</f>
        <v>305</v>
      </c>
      <c r="C113" s="7">
        <v>150.0</v>
      </c>
      <c r="D113" s="39">
        <f t="shared" si="5"/>
        <v>2199</v>
      </c>
      <c r="E113" s="7">
        <f t="shared" si="6"/>
        <v>3150</v>
      </c>
    </row>
    <row r="114" ht="15.75" customHeight="1">
      <c r="A114" s="37">
        <v>45404.0</v>
      </c>
      <c r="B114" s="3">
        <v>80.0</v>
      </c>
      <c r="C114" s="7">
        <v>150.0</v>
      </c>
      <c r="D114" s="39">
        <f t="shared" si="5"/>
        <v>2279</v>
      </c>
      <c r="E114" s="7">
        <f t="shared" si="6"/>
        <v>3300</v>
      </c>
    </row>
    <row r="115" ht="15.75" customHeight="1">
      <c r="A115" s="37">
        <v>45405.0</v>
      </c>
      <c r="B115" s="3">
        <v>130.0</v>
      </c>
      <c r="C115" s="7">
        <v>150.0</v>
      </c>
      <c r="D115" s="39">
        <f t="shared" si="5"/>
        <v>2409</v>
      </c>
      <c r="E115" s="7">
        <f t="shared" si="6"/>
        <v>3450</v>
      </c>
    </row>
    <row r="116" ht="15.75" customHeight="1">
      <c r="A116" s="37">
        <v>45406.0</v>
      </c>
      <c r="B116" s="3">
        <v>110.0</v>
      </c>
      <c r="C116" s="7">
        <v>150.0</v>
      </c>
      <c r="D116" s="39">
        <f t="shared" si="5"/>
        <v>2519</v>
      </c>
      <c r="E116" s="7">
        <f t="shared" si="6"/>
        <v>3600</v>
      </c>
    </row>
    <row r="117" ht="15.75" customHeight="1">
      <c r="A117" s="37">
        <v>45407.0</v>
      </c>
      <c r="B117" s="3">
        <f>35+10+45</f>
        <v>90</v>
      </c>
      <c r="C117" s="7">
        <v>150.0</v>
      </c>
      <c r="D117" s="39">
        <f t="shared" si="5"/>
        <v>2609</v>
      </c>
      <c r="E117" s="7">
        <f t="shared" si="6"/>
        <v>3750</v>
      </c>
    </row>
    <row r="118" ht="15.75" customHeight="1">
      <c r="A118" s="37">
        <v>45408.0</v>
      </c>
      <c r="B118" s="3">
        <v>50.0</v>
      </c>
      <c r="C118" s="7">
        <v>150.0</v>
      </c>
      <c r="D118" s="39">
        <f t="shared" si="5"/>
        <v>2659</v>
      </c>
      <c r="E118" s="7">
        <f t="shared" si="6"/>
        <v>3900</v>
      </c>
    </row>
    <row r="119" ht="15.75" customHeight="1">
      <c r="A119" s="37">
        <v>45409.0</v>
      </c>
      <c r="B119" s="3">
        <f>20+60+80</f>
        <v>160</v>
      </c>
      <c r="C119" s="7">
        <v>150.0</v>
      </c>
      <c r="D119" s="39">
        <f t="shared" si="5"/>
        <v>2819</v>
      </c>
      <c r="E119" s="7">
        <f t="shared" si="6"/>
        <v>4050</v>
      </c>
    </row>
    <row r="120" ht="15.75" customHeight="1">
      <c r="A120" s="37">
        <v>45410.0</v>
      </c>
      <c r="B120" s="3">
        <f>20+60+15</f>
        <v>95</v>
      </c>
      <c r="C120" s="7">
        <v>150.0</v>
      </c>
      <c r="D120" s="39">
        <f t="shared" si="5"/>
        <v>2914</v>
      </c>
      <c r="E120" s="7">
        <f t="shared" si="6"/>
        <v>4200</v>
      </c>
    </row>
    <row r="121" ht="15.75" customHeight="1">
      <c r="A121" s="37">
        <v>45411.0</v>
      </c>
      <c r="B121" s="3">
        <v>80.0</v>
      </c>
      <c r="C121" s="7">
        <v>150.0</v>
      </c>
      <c r="D121" s="39">
        <f t="shared" si="5"/>
        <v>2994</v>
      </c>
      <c r="E121" s="7">
        <f t="shared" si="6"/>
        <v>4350</v>
      </c>
    </row>
    <row r="122" ht="15.75" customHeight="1">
      <c r="A122" s="37">
        <v>45412.0</v>
      </c>
      <c r="B122" s="3">
        <f>40+20+38+45</f>
        <v>143</v>
      </c>
      <c r="C122" s="7">
        <v>150.0</v>
      </c>
      <c r="D122" s="39">
        <f t="shared" si="5"/>
        <v>3137</v>
      </c>
      <c r="E122" s="7">
        <f t="shared" si="6"/>
        <v>4500</v>
      </c>
    </row>
    <row r="123" ht="15.75" customHeight="1">
      <c r="A123" s="37">
        <v>45413.0</v>
      </c>
      <c r="B123" s="3">
        <f>40+10+200+26+73</f>
        <v>349</v>
      </c>
      <c r="C123" s="3">
        <v>150.0</v>
      </c>
      <c r="D123" s="3">
        <f t="shared" ref="D123:E123" si="7">B123</f>
        <v>349</v>
      </c>
      <c r="E123" s="3">
        <f t="shared" si="7"/>
        <v>150</v>
      </c>
      <c r="G123" s="3" t="s">
        <v>14</v>
      </c>
      <c r="H123" s="3">
        <v>2000.0</v>
      </c>
    </row>
    <row r="124" ht="15.75" customHeight="1">
      <c r="A124" s="37">
        <v>45414.0</v>
      </c>
      <c r="B124" s="3">
        <f>40+20+10</f>
        <v>70</v>
      </c>
      <c r="C124" s="3">
        <v>150.0</v>
      </c>
      <c r="D124" s="3">
        <f t="shared" ref="D124:D153" si="8">D123+B124</f>
        <v>419</v>
      </c>
      <c r="E124" s="3">
        <f>C124+C123</f>
        <v>300</v>
      </c>
      <c r="G124" s="3" t="s">
        <v>8</v>
      </c>
      <c r="H124" s="3">
        <v>2300.0</v>
      </c>
    </row>
    <row r="125" ht="15.75" customHeight="1">
      <c r="A125" s="37">
        <v>45415.0</v>
      </c>
      <c r="B125" s="3">
        <f>40+40+10+60</f>
        <v>150</v>
      </c>
      <c r="C125" s="3">
        <v>150.0</v>
      </c>
      <c r="D125" s="3">
        <f t="shared" si="8"/>
        <v>569</v>
      </c>
      <c r="E125" s="3">
        <f>C125+E124</f>
        <v>450</v>
      </c>
      <c r="G125" s="3" t="s">
        <v>10</v>
      </c>
      <c r="H125" s="3">
        <v>8000.0</v>
      </c>
    </row>
    <row r="126" ht="15.75" customHeight="1">
      <c r="A126" s="37">
        <v>45416.0</v>
      </c>
      <c r="B126" s="3">
        <v>30.0</v>
      </c>
      <c r="C126" s="3">
        <v>150.0</v>
      </c>
      <c r="D126" s="3">
        <f t="shared" si="8"/>
        <v>599</v>
      </c>
      <c r="E126" s="3">
        <f t="shared" ref="E126:E153" si="9">E125+150</f>
        <v>600</v>
      </c>
      <c r="G126" s="3" t="s">
        <v>11</v>
      </c>
      <c r="H126" s="3">
        <v>4650.0</v>
      </c>
    </row>
    <row r="127" ht="15.75" customHeight="1">
      <c r="A127" s="37">
        <v>45417.0</v>
      </c>
      <c r="B127" s="3">
        <f>130+70+70+50</f>
        <v>320</v>
      </c>
      <c r="C127" s="3">
        <v>150.0</v>
      </c>
      <c r="D127" s="3">
        <f t="shared" si="8"/>
        <v>919</v>
      </c>
      <c r="E127" s="3">
        <f t="shared" si="9"/>
        <v>750</v>
      </c>
      <c r="G127" s="3" t="s">
        <v>127</v>
      </c>
      <c r="H127" s="3">
        <f>150</f>
        <v>150</v>
      </c>
    </row>
    <row r="128" ht="15.75" customHeight="1">
      <c r="A128" s="37">
        <v>45418.0</v>
      </c>
      <c r="B128" s="3">
        <v>95.0</v>
      </c>
      <c r="C128" s="3">
        <v>150.0</v>
      </c>
      <c r="D128" s="3">
        <f t="shared" si="8"/>
        <v>1014</v>
      </c>
      <c r="E128" s="3">
        <f t="shared" si="9"/>
        <v>900</v>
      </c>
      <c r="G128" s="3" t="s">
        <v>48</v>
      </c>
      <c r="H128" s="3">
        <f>SUM(H123:H127)</f>
        <v>17100</v>
      </c>
    </row>
    <row r="129" ht="15.75" customHeight="1">
      <c r="A129" s="37">
        <v>45419.0</v>
      </c>
      <c r="B129" s="3">
        <f>35+10</f>
        <v>45</v>
      </c>
      <c r="C129" s="3">
        <v>150.0</v>
      </c>
      <c r="D129" s="3">
        <f t="shared" si="8"/>
        <v>1059</v>
      </c>
      <c r="E129" s="3">
        <f t="shared" si="9"/>
        <v>1050</v>
      </c>
      <c r="G129" s="3" t="s">
        <v>128</v>
      </c>
      <c r="H129" s="3">
        <v>25000.0</v>
      </c>
    </row>
    <row r="130" ht="15.75" customHeight="1">
      <c r="A130" s="37">
        <v>45420.0</v>
      </c>
      <c r="B130" s="3">
        <f>40+20+30</f>
        <v>90</v>
      </c>
      <c r="C130" s="3">
        <v>150.0</v>
      </c>
      <c r="D130" s="3">
        <f t="shared" si="8"/>
        <v>1149</v>
      </c>
      <c r="E130" s="3">
        <f t="shared" si="9"/>
        <v>1200</v>
      </c>
      <c r="G130" s="3" t="s">
        <v>130</v>
      </c>
      <c r="H130" s="3">
        <f>H129-H128</f>
        <v>7900</v>
      </c>
    </row>
    <row r="131" ht="15.75" customHeight="1">
      <c r="A131" s="37">
        <v>45421.0</v>
      </c>
      <c r="B131" s="3">
        <v>100.0</v>
      </c>
      <c r="C131" s="3">
        <v>150.0</v>
      </c>
      <c r="D131" s="3">
        <f t="shared" si="8"/>
        <v>1249</v>
      </c>
      <c r="E131" s="3">
        <f t="shared" si="9"/>
        <v>1350</v>
      </c>
    </row>
    <row r="132" ht="15.75" customHeight="1">
      <c r="A132" s="37">
        <v>45422.0</v>
      </c>
      <c r="B132" s="3">
        <f>110+40+10</f>
        <v>160</v>
      </c>
      <c r="C132" s="3">
        <v>150.0</v>
      </c>
      <c r="D132" s="3">
        <f t="shared" si="8"/>
        <v>1409</v>
      </c>
      <c r="E132" s="3">
        <f t="shared" si="9"/>
        <v>1500</v>
      </c>
    </row>
    <row r="133" ht="15.75" customHeight="1">
      <c r="A133" s="37">
        <v>45423.0</v>
      </c>
      <c r="B133" s="3">
        <v>90.0</v>
      </c>
      <c r="C133" s="3">
        <v>150.0</v>
      </c>
      <c r="D133" s="3">
        <f t="shared" si="8"/>
        <v>1499</v>
      </c>
      <c r="E133" s="3">
        <f t="shared" si="9"/>
        <v>1650</v>
      </c>
    </row>
    <row r="134" ht="15.75" customHeight="1">
      <c r="A134" s="37">
        <v>45424.0</v>
      </c>
      <c r="B134" s="3">
        <f>60+25+35+200+10</f>
        <v>330</v>
      </c>
      <c r="C134" s="3">
        <v>150.0</v>
      </c>
      <c r="D134" s="3">
        <f t="shared" si="8"/>
        <v>1829</v>
      </c>
      <c r="E134" s="3">
        <f t="shared" si="9"/>
        <v>1800</v>
      </c>
    </row>
    <row r="135" ht="15.75" customHeight="1">
      <c r="A135" s="37">
        <v>45425.0</v>
      </c>
      <c r="B135" s="3">
        <f>80+50</f>
        <v>130</v>
      </c>
      <c r="C135" s="3">
        <v>150.0</v>
      </c>
      <c r="D135" s="3">
        <f t="shared" si="8"/>
        <v>1959</v>
      </c>
      <c r="E135" s="3">
        <f t="shared" si="9"/>
        <v>1950</v>
      </c>
    </row>
    <row r="136" ht="15.75" customHeight="1">
      <c r="A136" s="37">
        <v>45426.0</v>
      </c>
      <c r="B136" s="3">
        <f>20+70+20+25</f>
        <v>135</v>
      </c>
      <c r="C136" s="3">
        <v>150.0</v>
      </c>
      <c r="D136" s="3">
        <f t="shared" si="8"/>
        <v>2094</v>
      </c>
      <c r="E136" s="3">
        <f t="shared" si="9"/>
        <v>2100</v>
      </c>
    </row>
    <row r="137" ht="15.75" customHeight="1">
      <c r="A137" s="37">
        <v>45427.0</v>
      </c>
      <c r="B137" s="3">
        <f>20+30+35</f>
        <v>85</v>
      </c>
      <c r="C137" s="3">
        <v>150.0</v>
      </c>
      <c r="D137" s="3">
        <f t="shared" si="8"/>
        <v>2179</v>
      </c>
      <c r="E137" s="3">
        <f t="shared" si="9"/>
        <v>2250</v>
      </c>
    </row>
    <row r="138" ht="15.75" customHeight="1">
      <c r="A138" s="37">
        <v>45428.0</v>
      </c>
      <c r="B138" s="3">
        <f>20+30+25</f>
        <v>75</v>
      </c>
      <c r="C138" s="3">
        <v>150.0</v>
      </c>
      <c r="D138" s="3">
        <f t="shared" si="8"/>
        <v>2254</v>
      </c>
      <c r="E138" s="3">
        <f t="shared" si="9"/>
        <v>2400</v>
      </c>
    </row>
    <row r="139" ht="15.75" customHeight="1">
      <c r="A139" s="37">
        <v>45429.0</v>
      </c>
      <c r="B139" s="3">
        <f>25+10+80</f>
        <v>115</v>
      </c>
      <c r="C139" s="3">
        <v>150.0</v>
      </c>
      <c r="D139" s="3">
        <f t="shared" si="8"/>
        <v>2369</v>
      </c>
      <c r="E139" s="3">
        <f t="shared" si="9"/>
        <v>2550</v>
      </c>
    </row>
    <row r="140" ht="15.75" customHeight="1">
      <c r="A140" s="37">
        <v>45430.0</v>
      </c>
      <c r="B140" s="3">
        <v>45.0</v>
      </c>
      <c r="C140" s="3">
        <v>150.0</v>
      </c>
      <c r="D140" s="3">
        <f t="shared" si="8"/>
        <v>2414</v>
      </c>
      <c r="E140" s="3">
        <f t="shared" si="9"/>
        <v>2700</v>
      </c>
    </row>
    <row r="141" ht="15.75" customHeight="1">
      <c r="A141" s="37">
        <v>45431.0</v>
      </c>
      <c r="B141" s="3">
        <f>45+47+70</f>
        <v>162</v>
      </c>
      <c r="C141" s="3">
        <v>150.0</v>
      </c>
      <c r="D141" s="3">
        <f t="shared" si="8"/>
        <v>2576</v>
      </c>
      <c r="E141" s="3">
        <f t="shared" si="9"/>
        <v>2850</v>
      </c>
    </row>
    <row r="142" ht="15.75" customHeight="1">
      <c r="A142" s="37">
        <v>45432.0</v>
      </c>
      <c r="B142" s="3">
        <f>80+40</f>
        <v>120</v>
      </c>
      <c r="C142" s="3">
        <v>150.0</v>
      </c>
      <c r="D142" s="3">
        <f t="shared" si="8"/>
        <v>2696</v>
      </c>
      <c r="E142" s="3">
        <f t="shared" si="9"/>
        <v>3000</v>
      </c>
    </row>
    <row r="143" ht="15.75" customHeight="1">
      <c r="A143" s="37">
        <v>45433.0</v>
      </c>
      <c r="B143" s="3">
        <f>25+55+50</f>
        <v>130</v>
      </c>
      <c r="C143" s="3">
        <v>150.0</v>
      </c>
      <c r="D143" s="3">
        <f t="shared" si="8"/>
        <v>2826</v>
      </c>
      <c r="E143" s="3">
        <f t="shared" si="9"/>
        <v>3150</v>
      </c>
    </row>
    <row r="144" ht="15.75" customHeight="1">
      <c r="A144" s="37">
        <v>45434.0</v>
      </c>
      <c r="B144" s="3">
        <v>80.0</v>
      </c>
      <c r="C144" s="3">
        <v>150.0</v>
      </c>
      <c r="D144" s="3">
        <f t="shared" si="8"/>
        <v>2906</v>
      </c>
      <c r="E144" s="3">
        <f t="shared" si="9"/>
        <v>3300</v>
      </c>
    </row>
    <row r="145" ht="15.75" customHeight="1">
      <c r="A145" s="37">
        <v>45435.0</v>
      </c>
      <c r="B145" s="3">
        <v>95.0</v>
      </c>
      <c r="C145" s="3">
        <v>150.0</v>
      </c>
      <c r="D145" s="3">
        <f t="shared" si="8"/>
        <v>3001</v>
      </c>
      <c r="E145" s="3">
        <f t="shared" si="9"/>
        <v>3450</v>
      </c>
    </row>
    <row r="146" ht="15.75" customHeight="1">
      <c r="A146" s="37">
        <v>45436.0</v>
      </c>
      <c r="B146" s="3">
        <f>130+47</f>
        <v>177</v>
      </c>
      <c r="C146" s="3">
        <v>150.0</v>
      </c>
      <c r="D146" s="3">
        <f t="shared" si="8"/>
        <v>3178</v>
      </c>
      <c r="E146" s="3">
        <f t="shared" si="9"/>
        <v>3600</v>
      </c>
    </row>
    <row r="147" ht="15.75" customHeight="1">
      <c r="A147" s="37">
        <v>45437.0</v>
      </c>
      <c r="B147" s="3">
        <f>30+80+35+25+35</f>
        <v>205</v>
      </c>
      <c r="C147" s="3">
        <v>150.0</v>
      </c>
      <c r="D147" s="3">
        <f t="shared" si="8"/>
        <v>3383</v>
      </c>
      <c r="E147" s="3">
        <f t="shared" si="9"/>
        <v>3750</v>
      </c>
    </row>
    <row r="148" ht="15.75" customHeight="1">
      <c r="A148" s="37">
        <v>45438.0</v>
      </c>
      <c r="B148" s="3">
        <f>35+50+32+125</f>
        <v>242</v>
      </c>
      <c r="C148" s="3">
        <v>150.0</v>
      </c>
      <c r="D148" s="3">
        <f t="shared" si="8"/>
        <v>3625</v>
      </c>
      <c r="E148" s="3">
        <f t="shared" si="9"/>
        <v>3900</v>
      </c>
    </row>
    <row r="149" ht="15.75" customHeight="1">
      <c r="A149" s="37">
        <v>45439.0</v>
      </c>
      <c r="B149" s="3">
        <f>44+60+10+20</f>
        <v>134</v>
      </c>
      <c r="C149" s="3">
        <v>150.0</v>
      </c>
      <c r="D149" s="3">
        <f t="shared" si="8"/>
        <v>3759</v>
      </c>
      <c r="E149" s="3">
        <f t="shared" si="9"/>
        <v>4050</v>
      </c>
    </row>
    <row r="150" ht="15.75" customHeight="1">
      <c r="A150" s="37">
        <v>45440.0</v>
      </c>
      <c r="B150" s="3">
        <v>90.0</v>
      </c>
      <c r="C150" s="3">
        <v>150.0</v>
      </c>
      <c r="D150" s="3">
        <f t="shared" si="8"/>
        <v>3849</v>
      </c>
      <c r="E150" s="3">
        <f t="shared" si="9"/>
        <v>4200</v>
      </c>
    </row>
    <row r="151" ht="15.75" customHeight="1">
      <c r="A151" s="37">
        <v>45441.0</v>
      </c>
      <c r="B151" s="3">
        <f>85+20+20+50</f>
        <v>175</v>
      </c>
      <c r="C151" s="3">
        <v>150.0</v>
      </c>
      <c r="D151" s="3">
        <f t="shared" si="8"/>
        <v>4024</v>
      </c>
      <c r="E151" s="3">
        <f t="shared" si="9"/>
        <v>4350</v>
      </c>
    </row>
    <row r="152" ht="15.75" customHeight="1">
      <c r="A152" s="37">
        <v>45442.0</v>
      </c>
      <c r="B152" s="3">
        <f>42+60+10+30</f>
        <v>142</v>
      </c>
      <c r="C152" s="3">
        <v>150.0</v>
      </c>
      <c r="D152" s="3">
        <f t="shared" si="8"/>
        <v>4166</v>
      </c>
      <c r="E152" s="3">
        <f t="shared" si="9"/>
        <v>4500</v>
      </c>
    </row>
    <row r="153" ht="15.75" customHeight="1">
      <c r="A153" s="37">
        <v>45443.0</v>
      </c>
      <c r="B153" s="3">
        <f>20+60+20</f>
        <v>100</v>
      </c>
      <c r="C153" s="3">
        <v>150.0</v>
      </c>
      <c r="D153" s="3">
        <f t="shared" si="8"/>
        <v>4266</v>
      </c>
      <c r="E153" s="3">
        <f t="shared" si="9"/>
        <v>4650</v>
      </c>
    </row>
    <row r="154" ht="15.75" customHeight="1">
      <c r="A154" s="41">
        <v>45444.0</v>
      </c>
      <c r="B154" s="42">
        <f>100+30+30+10</f>
        <v>170</v>
      </c>
      <c r="C154" s="42">
        <v>150.0</v>
      </c>
      <c r="D154" s="42">
        <f t="shared" ref="D154:E154" si="10">B154</f>
        <v>170</v>
      </c>
      <c r="E154" s="42">
        <f t="shared" si="10"/>
        <v>150</v>
      </c>
      <c r="G154" s="3" t="s">
        <v>14</v>
      </c>
      <c r="H154" s="3">
        <v>2000.0</v>
      </c>
      <c r="I154" s="2"/>
    </row>
    <row r="155" ht="15.75" customHeight="1">
      <c r="A155" s="43">
        <v>45445.0</v>
      </c>
      <c r="B155" s="44">
        <f>60+240</f>
        <v>300</v>
      </c>
      <c r="C155" s="44">
        <v>150.0</v>
      </c>
      <c r="D155" s="44">
        <f t="shared" ref="D155:D183" si="11">D154+B155</f>
        <v>470</v>
      </c>
      <c r="E155" s="44">
        <f>C155+C154</f>
        <v>300</v>
      </c>
      <c r="G155" s="3" t="s">
        <v>8</v>
      </c>
      <c r="H155" s="3">
        <v>2000.0</v>
      </c>
      <c r="I155" s="2"/>
    </row>
    <row r="156" ht="15.75" customHeight="1">
      <c r="A156" s="41">
        <v>45446.0</v>
      </c>
      <c r="B156" s="42">
        <f>47+52+10+53</f>
        <v>162</v>
      </c>
      <c r="C156" s="42">
        <v>150.0</v>
      </c>
      <c r="D156" s="42">
        <f t="shared" si="11"/>
        <v>632</v>
      </c>
      <c r="E156" s="42">
        <f>C156+E155</f>
        <v>450</v>
      </c>
      <c r="G156" s="3" t="s">
        <v>10</v>
      </c>
      <c r="H156" s="3">
        <v>8000.0</v>
      </c>
      <c r="I156" s="2"/>
    </row>
    <row r="157" ht="15.75" customHeight="1">
      <c r="A157" s="43">
        <v>45447.0</v>
      </c>
      <c r="B157" s="44">
        <f>150+20</f>
        <v>170</v>
      </c>
      <c r="C157" s="44">
        <v>150.0</v>
      </c>
      <c r="D157" s="44">
        <f t="shared" si="11"/>
        <v>802</v>
      </c>
      <c r="E157" s="44">
        <f t="shared" ref="E157:E183" si="12">E156+150</f>
        <v>600</v>
      </c>
      <c r="G157" s="3" t="s">
        <v>11</v>
      </c>
      <c r="H157" s="3">
        <f>'JAN 24'!D183</f>
        <v>4237</v>
      </c>
      <c r="I157" s="2"/>
    </row>
    <row r="158" ht="15.75" customHeight="1">
      <c r="A158" s="41">
        <v>45448.0</v>
      </c>
      <c r="B158" s="42">
        <v>130.0</v>
      </c>
      <c r="C158" s="42">
        <v>150.0</v>
      </c>
      <c r="D158" s="42">
        <f t="shared" si="11"/>
        <v>932</v>
      </c>
      <c r="E158" s="42">
        <f t="shared" si="12"/>
        <v>750</v>
      </c>
      <c r="G158" s="3" t="s">
        <v>127</v>
      </c>
      <c r="H158" s="3">
        <v>200.0</v>
      </c>
      <c r="I158" s="2"/>
    </row>
    <row r="159" ht="15.75" customHeight="1">
      <c r="A159" s="43">
        <v>45449.0</v>
      </c>
      <c r="B159" s="44">
        <f>35+10</f>
        <v>45</v>
      </c>
      <c r="C159" s="44">
        <v>150.0</v>
      </c>
      <c r="D159" s="44">
        <f t="shared" si="11"/>
        <v>977</v>
      </c>
      <c r="E159" s="44">
        <f t="shared" si="12"/>
        <v>900</v>
      </c>
      <c r="G159" s="13" t="s">
        <v>7</v>
      </c>
      <c r="H159" s="13">
        <v>300.0</v>
      </c>
      <c r="I159" s="2"/>
    </row>
    <row r="160" ht="15.75" customHeight="1">
      <c r="A160" s="41">
        <v>45450.0</v>
      </c>
      <c r="B160" s="42">
        <f>40</f>
        <v>40</v>
      </c>
      <c r="C160" s="42">
        <v>150.0</v>
      </c>
      <c r="D160" s="42">
        <f t="shared" si="11"/>
        <v>1017</v>
      </c>
      <c r="E160" s="42">
        <f t="shared" si="12"/>
        <v>1050</v>
      </c>
      <c r="G160" s="13" t="s">
        <v>17</v>
      </c>
      <c r="H160" s="13">
        <v>500.0</v>
      </c>
      <c r="I160" s="2"/>
    </row>
    <row r="161" ht="15.75" customHeight="1">
      <c r="A161" s="43">
        <v>45451.0</v>
      </c>
      <c r="B161" s="44">
        <f>40+60+35</f>
        <v>135</v>
      </c>
      <c r="C161" s="44">
        <v>150.0</v>
      </c>
      <c r="D161" s="44">
        <f t="shared" si="11"/>
        <v>1152</v>
      </c>
      <c r="E161" s="44">
        <f t="shared" si="12"/>
        <v>1200</v>
      </c>
      <c r="G161" s="3"/>
      <c r="H161" s="3"/>
      <c r="I161" s="2"/>
    </row>
    <row r="162" ht="15.75" customHeight="1">
      <c r="A162" s="41">
        <v>45452.0</v>
      </c>
      <c r="B162" s="42">
        <f>30+17+35+120</f>
        <v>202</v>
      </c>
      <c r="C162" s="42">
        <v>150.0</v>
      </c>
      <c r="D162" s="42">
        <f t="shared" si="11"/>
        <v>1354</v>
      </c>
      <c r="E162" s="42">
        <f t="shared" si="12"/>
        <v>1350</v>
      </c>
    </row>
    <row r="163" ht="15.75" customHeight="1">
      <c r="A163" s="43">
        <v>45453.0</v>
      </c>
      <c r="B163" s="44">
        <f>160</f>
        <v>160</v>
      </c>
      <c r="C163" s="44">
        <v>150.0</v>
      </c>
      <c r="D163" s="44">
        <f t="shared" si="11"/>
        <v>1514</v>
      </c>
      <c r="E163" s="44">
        <f t="shared" si="12"/>
        <v>1500</v>
      </c>
    </row>
    <row r="164" ht="15.75" customHeight="1">
      <c r="A164" s="41">
        <v>45454.0</v>
      </c>
      <c r="B164" s="42">
        <v>80.0</v>
      </c>
      <c r="C164" s="42">
        <v>150.0</v>
      </c>
      <c r="D164" s="42">
        <f t="shared" si="11"/>
        <v>1594</v>
      </c>
      <c r="E164" s="42">
        <f t="shared" si="12"/>
        <v>1650</v>
      </c>
    </row>
    <row r="165" ht="15.75" customHeight="1">
      <c r="A165" s="43">
        <v>45455.0</v>
      </c>
      <c r="B165" s="44">
        <f>15+85+10+20+20</f>
        <v>150</v>
      </c>
      <c r="C165" s="44">
        <v>150.0</v>
      </c>
      <c r="D165" s="44">
        <f t="shared" si="11"/>
        <v>1744</v>
      </c>
      <c r="E165" s="44">
        <f t="shared" si="12"/>
        <v>1800</v>
      </c>
    </row>
    <row r="166" ht="15.75" customHeight="1">
      <c r="A166" s="41">
        <v>45456.0</v>
      </c>
      <c r="B166" s="42">
        <f>50+20</f>
        <v>70</v>
      </c>
      <c r="C166" s="42">
        <v>150.0</v>
      </c>
      <c r="D166" s="42">
        <f t="shared" si="11"/>
        <v>1814</v>
      </c>
      <c r="E166" s="42">
        <f t="shared" si="12"/>
        <v>1950</v>
      </c>
    </row>
    <row r="167" ht="15.75" customHeight="1">
      <c r="A167" s="43">
        <v>45457.0</v>
      </c>
      <c r="B167" s="44">
        <f>80+15+42</f>
        <v>137</v>
      </c>
      <c r="C167" s="44">
        <v>150.0</v>
      </c>
      <c r="D167" s="44">
        <f t="shared" si="11"/>
        <v>1951</v>
      </c>
      <c r="E167" s="44">
        <f t="shared" si="12"/>
        <v>2100</v>
      </c>
    </row>
    <row r="168" ht="15.75" customHeight="1">
      <c r="A168" s="41">
        <v>45458.0</v>
      </c>
      <c r="B168" s="42">
        <v>50.0</v>
      </c>
      <c r="C168" s="42">
        <v>150.0</v>
      </c>
      <c r="D168" s="42">
        <f t="shared" si="11"/>
        <v>2001</v>
      </c>
      <c r="E168" s="42">
        <f t="shared" si="12"/>
        <v>2250</v>
      </c>
    </row>
    <row r="169" ht="15.75" customHeight="1">
      <c r="A169" s="43">
        <v>45459.0</v>
      </c>
      <c r="B169" s="44">
        <f>10+20+50+90+46</f>
        <v>216</v>
      </c>
      <c r="C169" s="44">
        <v>150.0</v>
      </c>
      <c r="D169" s="44">
        <f t="shared" si="11"/>
        <v>2217</v>
      </c>
      <c r="E169" s="44">
        <f t="shared" si="12"/>
        <v>2400</v>
      </c>
    </row>
    <row r="170" ht="15.75" customHeight="1">
      <c r="A170" s="41">
        <v>45460.0</v>
      </c>
      <c r="B170" s="42">
        <v>100.0</v>
      </c>
      <c r="C170" s="42">
        <v>150.0</v>
      </c>
      <c r="D170" s="42">
        <f t="shared" si="11"/>
        <v>2317</v>
      </c>
      <c r="E170" s="42">
        <f t="shared" si="12"/>
        <v>2550</v>
      </c>
    </row>
    <row r="171" ht="15.75" customHeight="1">
      <c r="A171" s="43">
        <v>45461.0</v>
      </c>
      <c r="B171" s="44">
        <f>85+25+30</f>
        <v>140</v>
      </c>
      <c r="C171" s="44">
        <v>150.0</v>
      </c>
      <c r="D171" s="44">
        <f t="shared" si="11"/>
        <v>2457</v>
      </c>
      <c r="E171" s="44">
        <f t="shared" si="12"/>
        <v>2700</v>
      </c>
    </row>
    <row r="172" ht="15.75" customHeight="1">
      <c r="A172" s="41">
        <v>45462.0</v>
      </c>
      <c r="B172" s="42">
        <v>90.0</v>
      </c>
      <c r="C172" s="42">
        <v>150.0</v>
      </c>
      <c r="D172" s="42">
        <f t="shared" si="11"/>
        <v>2547</v>
      </c>
      <c r="E172" s="42">
        <f t="shared" si="12"/>
        <v>2850</v>
      </c>
    </row>
    <row r="173" ht="15.75" customHeight="1">
      <c r="A173" s="43">
        <v>45463.0</v>
      </c>
      <c r="B173" s="44">
        <v>100.0</v>
      </c>
      <c r="C173" s="44">
        <v>150.0</v>
      </c>
      <c r="D173" s="44">
        <f t="shared" si="11"/>
        <v>2647</v>
      </c>
      <c r="E173" s="44">
        <f t="shared" si="12"/>
        <v>3000</v>
      </c>
    </row>
    <row r="174" ht="15.75" customHeight="1">
      <c r="A174" s="41">
        <v>45464.0</v>
      </c>
      <c r="B174" s="42">
        <v>140.0</v>
      </c>
      <c r="C174" s="42">
        <v>150.0</v>
      </c>
      <c r="D174" s="42">
        <f t="shared" si="11"/>
        <v>2787</v>
      </c>
      <c r="E174" s="42">
        <f t="shared" si="12"/>
        <v>3150</v>
      </c>
    </row>
    <row r="175" ht="15.75" customHeight="1">
      <c r="A175" s="43">
        <v>45465.0</v>
      </c>
      <c r="B175" s="44">
        <f>30+80+25+40</f>
        <v>175</v>
      </c>
      <c r="C175" s="44">
        <v>150.0</v>
      </c>
      <c r="D175" s="44">
        <f t="shared" si="11"/>
        <v>2962</v>
      </c>
      <c r="E175" s="44">
        <f t="shared" si="12"/>
        <v>3300</v>
      </c>
    </row>
    <row r="176" ht="15.75" customHeight="1">
      <c r="A176" s="41">
        <v>45466.0</v>
      </c>
      <c r="B176" s="42">
        <f>35+120+40+60</f>
        <v>255</v>
      </c>
      <c r="C176" s="42">
        <v>150.0</v>
      </c>
      <c r="D176" s="42">
        <f t="shared" si="11"/>
        <v>3217</v>
      </c>
      <c r="E176" s="42">
        <f t="shared" si="12"/>
        <v>3450</v>
      </c>
    </row>
    <row r="177" ht="15.75" customHeight="1">
      <c r="A177" s="43">
        <v>45467.0</v>
      </c>
      <c r="B177" s="44">
        <v>80.0</v>
      </c>
      <c r="C177" s="44">
        <v>150.0</v>
      </c>
      <c r="D177" s="44">
        <f t="shared" si="11"/>
        <v>3297</v>
      </c>
      <c r="E177" s="44">
        <f t="shared" si="12"/>
        <v>3600</v>
      </c>
    </row>
    <row r="178" ht="15.75" customHeight="1">
      <c r="A178" s="41">
        <v>45468.0</v>
      </c>
      <c r="B178" s="42">
        <v>40.0</v>
      </c>
      <c r="C178" s="42">
        <v>150.0</v>
      </c>
      <c r="D178" s="42">
        <f t="shared" si="11"/>
        <v>3337</v>
      </c>
      <c r="E178" s="42">
        <f t="shared" si="12"/>
        <v>3750</v>
      </c>
    </row>
    <row r="179" ht="15.75" customHeight="1">
      <c r="A179" s="43">
        <v>45469.0</v>
      </c>
      <c r="B179" s="44">
        <f>60+35+100</f>
        <v>195</v>
      </c>
      <c r="C179" s="44">
        <v>150.0</v>
      </c>
      <c r="D179" s="44">
        <f t="shared" si="11"/>
        <v>3532</v>
      </c>
      <c r="E179" s="44">
        <f t="shared" si="12"/>
        <v>3900</v>
      </c>
    </row>
    <row r="180" ht="15.75" customHeight="1">
      <c r="A180" s="41">
        <v>45470.0</v>
      </c>
      <c r="B180" s="42">
        <f>80</f>
        <v>80</v>
      </c>
      <c r="C180" s="42">
        <v>150.0</v>
      </c>
      <c r="D180" s="42">
        <f t="shared" si="11"/>
        <v>3612</v>
      </c>
      <c r="E180" s="42">
        <f t="shared" si="12"/>
        <v>4050</v>
      </c>
    </row>
    <row r="181" ht="15.75" customHeight="1">
      <c r="A181" s="43">
        <v>45471.0</v>
      </c>
      <c r="B181" s="44">
        <f>40+70+60</f>
        <v>170</v>
      </c>
      <c r="C181" s="44">
        <v>150.0</v>
      </c>
      <c r="D181" s="44">
        <f t="shared" si="11"/>
        <v>3782</v>
      </c>
      <c r="E181" s="44">
        <f t="shared" si="12"/>
        <v>4200</v>
      </c>
    </row>
    <row r="182" ht="15.75" customHeight="1">
      <c r="A182" s="41">
        <v>45472.0</v>
      </c>
      <c r="B182" s="42">
        <f>20+100+30+10</f>
        <v>160</v>
      </c>
      <c r="C182" s="42">
        <v>150.0</v>
      </c>
      <c r="D182" s="42">
        <f t="shared" si="11"/>
        <v>3942</v>
      </c>
      <c r="E182" s="42">
        <f t="shared" si="12"/>
        <v>4350</v>
      </c>
    </row>
    <row r="183" ht="15.75" customHeight="1">
      <c r="A183" s="43">
        <v>45473.0</v>
      </c>
      <c r="B183" s="44">
        <f>60+30+30+35+120+20</f>
        <v>295</v>
      </c>
      <c r="C183" s="44">
        <v>150.0</v>
      </c>
      <c r="D183" s="44">
        <f t="shared" si="11"/>
        <v>4237</v>
      </c>
      <c r="E183" s="44">
        <f t="shared" si="12"/>
        <v>4500</v>
      </c>
    </row>
    <row r="184" ht="15.75" customHeight="1">
      <c r="A184" s="41">
        <v>45474.0</v>
      </c>
      <c r="B184" s="42">
        <f>35+30+50+10+40</f>
        <v>165</v>
      </c>
      <c r="C184" s="42">
        <v>150.0</v>
      </c>
      <c r="D184" s="42">
        <f t="shared" ref="D184:E184" si="13">B184</f>
        <v>165</v>
      </c>
      <c r="E184" s="42">
        <f t="shared" si="13"/>
        <v>150</v>
      </c>
      <c r="G184" s="3" t="s">
        <v>14</v>
      </c>
      <c r="H184" s="3">
        <v>2000.0</v>
      </c>
    </row>
    <row r="185" ht="15.75" customHeight="1">
      <c r="A185" s="43">
        <v>45475.0</v>
      </c>
      <c r="B185" s="44">
        <f>90+40</f>
        <v>130</v>
      </c>
      <c r="C185" s="44">
        <v>150.0</v>
      </c>
      <c r="D185" s="44">
        <f t="shared" ref="D185:D213" si="14">D184+B185</f>
        <v>295</v>
      </c>
      <c r="E185" s="44">
        <f>C185+C184</f>
        <v>300</v>
      </c>
      <c r="G185" s="3" t="s">
        <v>8</v>
      </c>
      <c r="H185" s="3">
        <v>2000.0</v>
      </c>
    </row>
    <row r="186" ht="15.75" customHeight="1">
      <c r="A186" s="41">
        <v>45476.0</v>
      </c>
      <c r="B186" s="42">
        <f>90+50</f>
        <v>140</v>
      </c>
      <c r="C186" s="42">
        <v>150.0</v>
      </c>
      <c r="D186" s="42">
        <f t="shared" si="14"/>
        <v>435</v>
      </c>
      <c r="E186" s="42">
        <f>C186+E185</f>
        <v>450</v>
      </c>
      <c r="G186" s="3" t="s">
        <v>10</v>
      </c>
      <c r="H186" s="3">
        <v>8000.0</v>
      </c>
    </row>
    <row r="187" ht="15.75" customHeight="1">
      <c r="A187" s="43">
        <v>45477.0</v>
      </c>
      <c r="B187" s="44">
        <v>45.0</v>
      </c>
      <c r="C187" s="44">
        <v>150.0</v>
      </c>
      <c r="D187" s="44">
        <f t="shared" si="14"/>
        <v>480</v>
      </c>
      <c r="E187" s="44">
        <f t="shared" ref="E187:E213" si="15">E186+150</f>
        <v>600</v>
      </c>
      <c r="G187" s="3" t="s">
        <v>11</v>
      </c>
      <c r="H187" s="3">
        <f>'JAN 24'!D213</f>
        <v>3392</v>
      </c>
    </row>
    <row r="188" ht="15.75" customHeight="1">
      <c r="A188" s="41">
        <v>45478.0</v>
      </c>
      <c r="B188" s="42">
        <v>40.0</v>
      </c>
      <c r="C188" s="42">
        <v>150.0</v>
      </c>
      <c r="D188" s="42">
        <f t="shared" si="14"/>
        <v>520</v>
      </c>
      <c r="E188" s="42">
        <f t="shared" si="15"/>
        <v>750</v>
      </c>
      <c r="G188" s="3" t="s">
        <v>127</v>
      </c>
      <c r="H188" s="3">
        <v>300.0</v>
      </c>
    </row>
    <row r="189" ht="15.75" customHeight="1">
      <c r="A189" s="43">
        <v>45479.0</v>
      </c>
      <c r="B189" s="44">
        <f>20+35+40+25+140</f>
        <v>260</v>
      </c>
      <c r="C189" s="44">
        <v>150.0</v>
      </c>
      <c r="D189" s="44">
        <f t="shared" si="14"/>
        <v>780</v>
      </c>
      <c r="E189" s="44">
        <f t="shared" si="15"/>
        <v>900</v>
      </c>
      <c r="G189" s="3" t="s">
        <v>131</v>
      </c>
      <c r="H189" s="3">
        <v>800.0</v>
      </c>
    </row>
    <row r="190" ht="15.75" customHeight="1">
      <c r="A190" s="41">
        <v>45480.0</v>
      </c>
      <c r="B190" s="42">
        <f>90+124+131+50+40+70+80</f>
        <v>585</v>
      </c>
      <c r="C190" s="42">
        <v>150.0</v>
      </c>
      <c r="D190" s="42">
        <f t="shared" si="14"/>
        <v>1365</v>
      </c>
      <c r="E190" s="42">
        <f t="shared" si="15"/>
        <v>1050</v>
      </c>
      <c r="G190" s="3" t="s">
        <v>56</v>
      </c>
      <c r="H190" s="3">
        <v>700.0</v>
      </c>
    </row>
    <row r="191" ht="15.75" customHeight="1">
      <c r="A191" s="43">
        <v>45481.0</v>
      </c>
      <c r="B191" s="44">
        <v>80.0</v>
      </c>
      <c r="C191" s="44">
        <v>150.0</v>
      </c>
      <c r="D191" s="44">
        <f t="shared" si="14"/>
        <v>1445</v>
      </c>
      <c r="E191" s="44">
        <f t="shared" si="15"/>
        <v>1200</v>
      </c>
      <c r="G191" s="3" t="s">
        <v>132</v>
      </c>
      <c r="H191" s="3">
        <v>1500.0</v>
      </c>
    </row>
    <row r="192" ht="15.75" customHeight="1">
      <c r="A192" s="41">
        <v>45482.0</v>
      </c>
      <c r="B192" s="42">
        <f>160+20+20</f>
        <v>200</v>
      </c>
      <c r="C192" s="42">
        <v>150.0</v>
      </c>
      <c r="D192" s="42">
        <f t="shared" si="14"/>
        <v>1645</v>
      </c>
      <c r="E192" s="42">
        <f t="shared" si="15"/>
        <v>1350</v>
      </c>
      <c r="G192" s="3" t="s">
        <v>133</v>
      </c>
      <c r="H192" s="3">
        <v>3900.0</v>
      </c>
    </row>
    <row r="193" ht="15.75" customHeight="1">
      <c r="A193" s="43">
        <v>45483.0</v>
      </c>
      <c r="B193" s="44">
        <f>70+20+40</f>
        <v>130</v>
      </c>
      <c r="C193" s="44">
        <v>150.0</v>
      </c>
      <c r="D193" s="44">
        <f t="shared" si="14"/>
        <v>1775</v>
      </c>
      <c r="E193" s="44">
        <f t="shared" si="15"/>
        <v>1500</v>
      </c>
      <c r="G193" s="3" t="s">
        <v>130</v>
      </c>
      <c r="H193" s="3" t="str">
        <f>#REF!-SUM(H184:H192)</f>
        <v>#REF!</v>
      </c>
    </row>
    <row r="194" ht="15.75" customHeight="1">
      <c r="A194" s="41">
        <v>45484.0</v>
      </c>
      <c r="B194" s="42">
        <v>105.0</v>
      </c>
      <c r="C194" s="42">
        <v>150.0</v>
      </c>
      <c r="D194" s="42">
        <f t="shared" si="14"/>
        <v>1880</v>
      </c>
      <c r="E194" s="42">
        <f t="shared" si="15"/>
        <v>1650</v>
      </c>
    </row>
    <row r="195" ht="15.75" customHeight="1">
      <c r="A195" s="43">
        <v>45485.0</v>
      </c>
      <c r="B195" s="44">
        <f>35+60+10</f>
        <v>105</v>
      </c>
      <c r="C195" s="44">
        <v>150.0</v>
      </c>
      <c r="D195" s="44">
        <f t="shared" si="14"/>
        <v>1985</v>
      </c>
      <c r="E195" s="44">
        <f t="shared" si="15"/>
        <v>1800</v>
      </c>
    </row>
    <row r="196" ht="15.75" customHeight="1">
      <c r="A196" s="41">
        <v>45486.0</v>
      </c>
      <c r="B196" s="42">
        <v>50.0</v>
      </c>
      <c r="C196" s="42">
        <v>150.0</v>
      </c>
      <c r="D196" s="42">
        <f t="shared" si="14"/>
        <v>2035</v>
      </c>
      <c r="E196" s="42">
        <f t="shared" si="15"/>
        <v>1950</v>
      </c>
    </row>
    <row r="197" ht="15.75" customHeight="1">
      <c r="A197" s="43">
        <v>45487.0</v>
      </c>
      <c r="B197" s="44">
        <f>40+75</f>
        <v>115</v>
      </c>
      <c r="C197" s="44">
        <v>150.0</v>
      </c>
      <c r="D197" s="44">
        <f t="shared" si="14"/>
        <v>2150</v>
      </c>
      <c r="E197" s="44">
        <f t="shared" si="15"/>
        <v>2100</v>
      </c>
    </row>
    <row r="198" ht="15.75" customHeight="1">
      <c r="A198" s="41">
        <v>45488.0</v>
      </c>
      <c r="B198" s="42">
        <v>80.0</v>
      </c>
      <c r="C198" s="42">
        <v>150.0</v>
      </c>
      <c r="D198" s="42">
        <f t="shared" si="14"/>
        <v>2230</v>
      </c>
      <c r="E198" s="42">
        <f t="shared" si="15"/>
        <v>2250</v>
      </c>
    </row>
    <row r="199" ht="15.75" customHeight="1">
      <c r="A199" s="43">
        <v>45489.0</v>
      </c>
      <c r="B199" s="44">
        <v>110.0</v>
      </c>
      <c r="C199" s="44">
        <v>150.0</v>
      </c>
      <c r="D199" s="44">
        <f t="shared" si="14"/>
        <v>2340</v>
      </c>
      <c r="E199" s="44">
        <f t="shared" si="15"/>
        <v>2400</v>
      </c>
    </row>
    <row r="200" ht="15.75" customHeight="1">
      <c r="A200" s="41">
        <v>45490.0</v>
      </c>
      <c r="B200" s="42">
        <v>115.0</v>
      </c>
      <c r="C200" s="42">
        <v>150.0</v>
      </c>
      <c r="D200" s="42">
        <f t="shared" si="14"/>
        <v>2455</v>
      </c>
      <c r="E200" s="42">
        <f t="shared" si="15"/>
        <v>2550</v>
      </c>
    </row>
    <row r="201" ht="15.75" customHeight="1">
      <c r="A201" s="43">
        <v>45491.0</v>
      </c>
      <c r="B201" s="44">
        <v>150.0</v>
      </c>
      <c r="C201" s="44">
        <v>150.0</v>
      </c>
      <c r="D201" s="44">
        <f t="shared" si="14"/>
        <v>2605</v>
      </c>
      <c r="E201" s="44">
        <f t="shared" si="15"/>
        <v>2700</v>
      </c>
    </row>
    <row r="202" ht="15.75" customHeight="1">
      <c r="A202" s="41">
        <v>45492.0</v>
      </c>
      <c r="B202" s="42">
        <f>72+30+10+20</f>
        <v>132</v>
      </c>
      <c r="C202" s="42">
        <v>150.0</v>
      </c>
      <c r="D202" s="42">
        <f t="shared" si="14"/>
        <v>2737</v>
      </c>
      <c r="E202" s="42">
        <f t="shared" si="15"/>
        <v>2850</v>
      </c>
    </row>
    <row r="203" ht="15.75" customHeight="1">
      <c r="A203" s="43">
        <v>45493.0</v>
      </c>
      <c r="B203" s="44">
        <v>65.0</v>
      </c>
      <c r="C203" s="44">
        <v>150.0</v>
      </c>
      <c r="D203" s="44">
        <f t="shared" si="14"/>
        <v>2802</v>
      </c>
      <c r="E203" s="44">
        <f t="shared" si="15"/>
        <v>3000</v>
      </c>
    </row>
    <row r="204" ht="15.75" customHeight="1">
      <c r="A204" s="41">
        <v>45494.0</v>
      </c>
      <c r="B204" s="42">
        <f>30+105</f>
        <v>135</v>
      </c>
      <c r="C204" s="42">
        <v>150.0</v>
      </c>
      <c r="D204" s="42">
        <f t="shared" si="14"/>
        <v>2937</v>
      </c>
      <c r="E204" s="42">
        <f t="shared" si="15"/>
        <v>3150</v>
      </c>
    </row>
    <row r="205" ht="15.75" customHeight="1">
      <c r="A205" s="43">
        <v>45495.0</v>
      </c>
      <c r="B205" s="44">
        <v>110.0</v>
      </c>
      <c r="C205" s="44">
        <v>150.0</v>
      </c>
      <c r="D205" s="44">
        <f t="shared" si="14"/>
        <v>3047</v>
      </c>
      <c r="E205" s="44">
        <f t="shared" si="15"/>
        <v>3300</v>
      </c>
    </row>
    <row r="206" ht="15.75" customHeight="1">
      <c r="A206" s="41">
        <v>45496.0</v>
      </c>
      <c r="B206" s="42">
        <v>120.0</v>
      </c>
      <c r="C206" s="42">
        <v>150.0</v>
      </c>
      <c r="D206" s="42">
        <f t="shared" si="14"/>
        <v>3167</v>
      </c>
      <c r="E206" s="42">
        <f t="shared" si="15"/>
        <v>3450</v>
      </c>
    </row>
    <row r="207" ht="15.75" customHeight="1">
      <c r="A207" s="43">
        <v>45497.0</v>
      </c>
      <c r="B207" s="44">
        <v>225.0</v>
      </c>
      <c r="C207" s="44">
        <v>150.0</v>
      </c>
      <c r="D207" s="44">
        <f t="shared" si="14"/>
        <v>3392</v>
      </c>
      <c r="E207" s="44">
        <f t="shared" si="15"/>
        <v>3600</v>
      </c>
    </row>
    <row r="208" ht="15.75" customHeight="1">
      <c r="A208" s="41">
        <v>45498.0</v>
      </c>
      <c r="B208" s="42"/>
      <c r="C208" s="42">
        <v>150.0</v>
      </c>
      <c r="D208" s="42">
        <f t="shared" si="14"/>
        <v>3392</v>
      </c>
      <c r="E208" s="42">
        <f t="shared" si="15"/>
        <v>3750</v>
      </c>
    </row>
    <row r="209" ht="15.75" customHeight="1">
      <c r="A209" s="43">
        <v>45499.0</v>
      </c>
      <c r="B209" s="44"/>
      <c r="C209" s="44">
        <v>150.0</v>
      </c>
      <c r="D209" s="44">
        <f t="shared" si="14"/>
        <v>3392</v>
      </c>
      <c r="E209" s="44">
        <f t="shared" si="15"/>
        <v>3900</v>
      </c>
    </row>
    <row r="210" ht="15.75" customHeight="1">
      <c r="A210" s="41">
        <v>45500.0</v>
      </c>
      <c r="B210" s="42"/>
      <c r="C210" s="42">
        <v>150.0</v>
      </c>
      <c r="D210" s="42">
        <f t="shared" si="14"/>
        <v>3392</v>
      </c>
      <c r="E210" s="42">
        <f t="shared" si="15"/>
        <v>4050</v>
      </c>
    </row>
    <row r="211" ht="15.75" customHeight="1">
      <c r="A211" s="43">
        <v>45501.0</v>
      </c>
      <c r="B211" s="44"/>
      <c r="C211" s="44">
        <v>150.0</v>
      </c>
      <c r="D211" s="44">
        <f t="shared" si="14"/>
        <v>3392</v>
      </c>
      <c r="E211" s="44">
        <f t="shared" si="15"/>
        <v>4200</v>
      </c>
    </row>
    <row r="212" ht="15.75" customHeight="1">
      <c r="A212" s="41">
        <v>45502.0</v>
      </c>
      <c r="B212" s="42"/>
      <c r="C212" s="42">
        <v>150.0</v>
      </c>
      <c r="D212" s="42">
        <f t="shared" si="14"/>
        <v>3392</v>
      </c>
      <c r="E212" s="42">
        <f t="shared" si="15"/>
        <v>4350</v>
      </c>
    </row>
    <row r="213" ht="15.75" customHeight="1">
      <c r="A213" s="43">
        <v>45503.0</v>
      </c>
      <c r="B213" s="44"/>
      <c r="C213" s="44">
        <v>150.0</v>
      </c>
      <c r="D213" s="44">
        <f t="shared" si="14"/>
        <v>3392</v>
      </c>
      <c r="E213" s="44">
        <f t="shared" si="15"/>
        <v>4500</v>
      </c>
    </row>
    <row r="214" ht="15.75" customHeight="1">
      <c r="A214" s="41">
        <v>45505.0</v>
      </c>
      <c r="B214" s="42"/>
      <c r="C214" s="42">
        <v>150.0</v>
      </c>
      <c r="D214" s="42" t="str">
        <f t="shared" ref="D214:E214" si="16">B214</f>
        <v/>
      </c>
      <c r="E214" s="42">
        <f t="shared" si="16"/>
        <v>150</v>
      </c>
      <c r="G214" s="3" t="s">
        <v>14</v>
      </c>
      <c r="H214" s="3">
        <v>2600.0</v>
      </c>
    </row>
    <row r="215" ht="15.75" customHeight="1">
      <c r="A215" s="43">
        <v>45506.0</v>
      </c>
      <c r="B215" s="44"/>
      <c r="C215" s="44">
        <v>150.0</v>
      </c>
      <c r="D215" s="44">
        <f t="shared" ref="D215:D244" si="17">D214+B215</f>
        <v>0</v>
      </c>
      <c r="E215" s="44">
        <f>C215+C214</f>
        <v>300</v>
      </c>
      <c r="G215" s="3" t="s">
        <v>8</v>
      </c>
      <c r="H215" s="3">
        <v>2000.0</v>
      </c>
    </row>
    <row r="216" ht="15.75" customHeight="1">
      <c r="A216" s="41">
        <v>45507.0</v>
      </c>
      <c r="B216" s="42"/>
      <c r="C216" s="42">
        <v>150.0</v>
      </c>
      <c r="D216" s="42">
        <f t="shared" si="17"/>
        <v>0</v>
      </c>
      <c r="E216" s="42">
        <f>C216+E215</f>
        <v>450</v>
      </c>
      <c r="G216" s="3" t="s">
        <v>10</v>
      </c>
      <c r="H216" s="3">
        <v>8000.0</v>
      </c>
    </row>
    <row r="217" ht="15.75" customHeight="1">
      <c r="A217" s="43">
        <v>45508.0</v>
      </c>
      <c r="B217" s="44"/>
      <c r="C217" s="44">
        <v>150.0</v>
      </c>
      <c r="D217" s="44">
        <f t="shared" si="17"/>
        <v>0</v>
      </c>
      <c r="E217" s="44">
        <f t="shared" ref="E217:E244" si="18">E216+150</f>
        <v>600</v>
      </c>
      <c r="G217" s="3" t="s">
        <v>11</v>
      </c>
      <c r="H217" s="3">
        <f>'JAN 24'!D243</f>
        <v>3784</v>
      </c>
    </row>
    <row r="218" ht="15.75" customHeight="1">
      <c r="A218" s="41">
        <v>45509.0</v>
      </c>
      <c r="B218" s="42">
        <f>150+35+60+10</f>
        <v>255</v>
      </c>
      <c r="C218" s="42">
        <v>150.0</v>
      </c>
      <c r="D218" s="42">
        <f t="shared" si="17"/>
        <v>255</v>
      </c>
      <c r="E218" s="42">
        <f t="shared" si="18"/>
        <v>750</v>
      </c>
      <c r="G218" s="3" t="s">
        <v>134</v>
      </c>
      <c r="H218" s="3">
        <v>150.0</v>
      </c>
    </row>
    <row r="219" ht="15.75" customHeight="1">
      <c r="A219" s="43">
        <v>45510.0</v>
      </c>
      <c r="B219" s="44">
        <f>30+20</f>
        <v>50</v>
      </c>
      <c r="C219" s="44">
        <v>150.0</v>
      </c>
      <c r="D219" s="44">
        <f t="shared" si="17"/>
        <v>305</v>
      </c>
      <c r="E219" s="44">
        <f t="shared" si="18"/>
        <v>900</v>
      </c>
      <c r="G219" s="3" t="s">
        <v>131</v>
      </c>
      <c r="H219" s="3">
        <v>800.0</v>
      </c>
    </row>
    <row r="220" ht="15.75" customHeight="1">
      <c r="A220" s="41">
        <v>45511.0</v>
      </c>
      <c r="B220" s="42">
        <f>60+50</f>
        <v>110</v>
      </c>
      <c r="C220" s="42">
        <v>150.0</v>
      </c>
      <c r="D220" s="42">
        <f t="shared" si="17"/>
        <v>415</v>
      </c>
      <c r="E220" s="42">
        <f t="shared" si="18"/>
        <v>1050</v>
      </c>
      <c r="G220" s="3" t="s">
        <v>135</v>
      </c>
      <c r="H220" s="3">
        <f>1400+1000</f>
        <v>2400</v>
      </c>
    </row>
    <row r="221" ht="15.75" customHeight="1">
      <c r="A221" s="43">
        <v>45512.0</v>
      </c>
      <c r="B221" s="44">
        <v>100.0</v>
      </c>
      <c r="C221" s="44">
        <v>150.0</v>
      </c>
      <c r="D221" s="44">
        <f t="shared" si="17"/>
        <v>515</v>
      </c>
      <c r="E221" s="44">
        <f t="shared" si="18"/>
        <v>1200</v>
      </c>
    </row>
    <row r="222" ht="15.75" customHeight="1">
      <c r="A222" s="41">
        <v>45513.0</v>
      </c>
      <c r="B222" s="42">
        <v>140.0</v>
      </c>
      <c r="C222" s="42">
        <v>150.0</v>
      </c>
      <c r="D222" s="42">
        <f t="shared" si="17"/>
        <v>655</v>
      </c>
      <c r="E222" s="42">
        <f t="shared" si="18"/>
        <v>1350</v>
      </c>
    </row>
    <row r="223" ht="15.75" customHeight="1">
      <c r="A223" s="43">
        <v>45514.0</v>
      </c>
      <c r="B223" s="44">
        <v>75.0</v>
      </c>
      <c r="C223" s="44">
        <v>150.0</v>
      </c>
      <c r="D223" s="44">
        <f t="shared" si="17"/>
        <v>730</v>
      </c>
      <c r="E223" s="44">
        <f t="shared" si="18"/>
        <v>1500</v>
      </c>
    </row>
    <row r="224" ht="15.75" customHeight="1">
      <c r="A224" s="41">
        <v>45515.0</v>
      </c>
      <c r="B224" s="42">
        <f>35+10+90</f>
        <v>135</v>
      </c>
      <c r="C224" s="42">
        <v>150.0</v>
      </c>
      <c r="D224" s="42">
        <f t="shared" si="17"/>
        <v>865</v>
      </c>
      <c r="E224" s="42">
        <f t="shared" si="18"/>
        <v>1650</v>
      </c>
    </row>
    <row r="225" ht="15.75" customHeight="1">
      <c r="A225" s="43">
        <v>45516.0</v>
      </c>
      <c r="B225" s="44">
        <f>90+70</f>
        <v>160</v>
      </c>
      <c r="C225" s="44">
        <v>150.0</v>
      </c>
      <c r="D225" s="44">
        <f t="shared" si="17"/>
        <v>1025</v>
      </c>
      <c r="E225" s="44">
        <f t="shared" si="18"/>
        <v>1800</v>
      </c>
    </row>
    <row r="226" ht="15.75" customHeight="1">
      <c r="A226" s="41">
        <v>45517.0</v>
      </c>
      <c r="B226" s="42">
        <f>85+39+40+10</f>
        <v>174</v>
      </c>
      <c r="C226" s="42">
        <v>150.0</v>
      </c>
      <c r="D226" s="42">
        <f t="shared" si="17"/>
        <v>1199</v>
      </c>
      <c r="E226" s="42">
        <f t="shared" si="18"/>
        <v>1950</v>
      </c>
    </row>
    <row r="227" ht="15.75" customHeight="1">
      <c r="A227" s="43">
        <v>45518.0</v>
      </c>
      <c r="B227" s="44">
        <v>110.0</v>
      </c>
      <c r="C227" s="44">
        <v>150.0</v>
      </c>
      <c r="D227" s="44">
        <f t="shared" si="17"/>
        <v>1309</v>
      </c>
      <c r="E227" s="44">
        <f t="shared" si="18"/>
        <v>2100</v>
      </c>
    </row>
    <row r="228" ht="15.75" customHeight="1">
      <c r="A228" s="41">
        <v>45519.0</v>
      </c>
      <c r="B228" s="42">
        <f>30+30+20</f>
        <v>80</v>
      </c>
      <c r="C228" s="42">
        <v>150.0</v>
      </c>
      <c r="D228" s="42">
        <f t="shared" si="17"/>
        <v>1389</v>
      </c>
      <c r="E228" s="42">
        <f t="shared" si="18"/>
        <v>2250</v>
      </c>
    </row>
    <row r="229" ht="15.75" customHeight="1">
      <c r="A229" s="43">
        <v>45520.0</v>
      </c>
      <c r="B229" s="44">
        <f>39+60+15+15</f>
        <v>129</v>
      </c>
      <c r="C229" s="44">
        <v>150.0</v>
      </c>
      <c r="D229" s="44">
        <f t="shared" si="17"/>
        <v>1518</v>
      </c>
      <c r="E229" s="44">
        <f t="shared" si="18"/>
        <v>2400</v>
      </c>
    </row>
    <row r="230" ht="15.75" customHeight="1">
      <c r="A230" s="41">
        <v>45521.0</v>
      </c>
      <c r="B230" s="42">
        <f>310+40+40</f>
        <v>390</v>
      </c>
      <c r="C230" s="42">
        <v>150.0</v>
      </c>
      <c r="D230" s="42">
        <f t="shared" si="17"/>
        <v>1908</v>
      </c>
      <c r="E230" s="42">
        <f t="shared" si="18"/>
        <v>2550</v>
      </c>
    </row>
    <row r="231" ht="15.75" customHeight="1">
      <c r="A231" s="43">
        <v>45522.0</v>
      </c>
      <c r="B231" s="44">
        <f>310+20+29+45</f>
        <v>404</v>
      </c>
      <c r="C231" s="44">
        <v>150.0</v>
      </c>
      <c r="D231" s="44">
        <f t="shared" si="17"/>
        <v>2312</v>
      </c>
      <c r="E231" s="44">
        <f t="shared" si="18"/>
        <v>2700</v>
      </c>
    </row>
    <row r="232" ht="15.75" customHeight="1">
      <c r="A232" s="41">
        <v>45523.0</v>
      </c>
      <c r="B232" s="42">
        <v>110.0</v>
      </c>
      <c r="C232" s="42">
        <v>150.0</v>
      </c>
      <c r="D232" s="42">
        <f t="shared" si="17"/>
        <v>2422</v>
      </c>
      <c r="E232" s="42">
        <f t="shared" si="18"/>
        <v>2850</v>
      </c>
    </row>
    <row r="233" ht="15.75" customHeight="1">
      <c r="A233" s="43">
        <v>45524.0</v>
      </c>
      <c r="B233" s="44">
        <v>120.0</v>
      </c>
      <c r="C233" s="44">
        <v>150.0</v>
      </c>
      <c r="D233" s="44">
        <f t="shared" si="17"/>
        <v>2542</v>
      </c>
      <c r="E233" s="44">
        <f t="shared" si="18"/>
        <v>3000</v>
      </c>
    </row>
    <row r="234" ht="15.75" customHeight="1">
      <c r="A234" s="41">
        <v>45525.0</v>
      </c>
      <c r="B234" s="42">
        <v>130.0</v>
      </c>
      <c r="C234" s="42">
        <v>150.0</v>
      </c>
      <c r="D234" s="42">
        <f t="shared" si="17"/>
        <v>2672</v>
      </c>
      <c r="E234" s="42">
        <f t="shared" si="18"/>
        <v>3150</v>
      </c>
    </row>
    <row r="235" ht="15.75" customHeight="1">
      <c r="A235" s="43">
        <v>45526.0</v>
      </c>
      <c r="B235" s="44">
        <v>110.0</v>
      </c>
      <c r="C235" s="44">
        <v>150.0</v>
      </c>
      <c r="D235" s="44">
        <f t="shared" si="17"/>
        <v>2782</v>
      </c>
      <c r="E235" s="44">
        <f t="shared" si="18"/>
        <v>3300</v>
      </c>
    </row>
    <row r="236" ht="15.75" customHeight="1">
      <c r="A236" s="41">
        <v>45527.0</v>
      </c>
      <c r="B236" s="42">
        <f>145+30+20+20</f>
        <v>215</v>
      </c>
      <c r="C236" s="42">
        <v>150.0</v>
      </c>
      <c r="D236" s="42">
        <f t="shared" si="17"/>
        <v>2997</v>
      </c>
      <c r="E236" s="42">
        <f t="shared" si="18"/>
        <v>3450</v>
      </c>
    </row>
    <row r="237" ht="15.75" customHeight="1">
      <c r="A237" s="43">
        <v>45528.0</v>
      </c>
      <c r="B237" s="44">
        <f>35+20+20+30+20</f>
        <v>125</v>
      </c>
      <c r="C237" s="44">
        <v>150.0</v>
      </c>
      <c r="D237" s="44">
        <f t="shared" si="17"/>
        <v>3122</v>
      </c>
      <c r="E237" s="44">
        <f t="shared" si="18"/>
        <v>3600</v>
      </c>
    </row>
    <row r="238" ht="15.75" customHeight="1">
      <c r="A238" s="41">
        <v>45529.0</v>
      </c>
      <c r="B238" s="42">
        <f>40+26+27+45+35</f>
        <v>173</v>
      </c>
      <c r="C238" s="42">
        <v>150.0</v>
      </c>
      <c r="D238" s="42">
        <f t="shared" si="17"/>
        <v>3295</v>
      </c>
      <c r="E238" s="42">
        <f t="shared" si="18"/>
        <v>3750</v>
      </c>
    </row>
    <row r="239" ht="15.75" customHeight="1">
      <c r="A239" s="43">
        <v>45530.0</v>
      </c>
      <c r="B239" s="44">
        <v>80.0</v>
      </c>
      <c r="C239" s="44">
        <v>150.0</v>
      </c>
      <c r="D239" s="44">
        <f t="shared" si="17"/>
        <v>3375</v>
      </c>
      <c r="E239" s="44">
        <f t="shared" si="18"/>
        <v>3900</v>
      </c>
    </row>
    <row r="240" ht="15.75" customHeight="1">
      <c r="A240" s="41">
        <v>45531.0</v>
      </c>
      <c r="B240" s="42">
        <v>105.0</v>
      </c>
      <c r="C240" s="42">
        <v>150.0</v>
      </c>
      <c r="D240" s="42">
        <f t="shared" si="17"/>
        <v>3480</v>
      </c>
      <c r="E240" s="42">
        <f t="shared" si="18"/>
        <v>4050</v>
      </c>
    </row>
    <row r="241" ht="15.75" customHeight="1">
      <c r="A241" s="43">
        <v>45532.0</v>
      </c>
      <c r="B241" s="44">
        <f>20+50+20+35</f>
        <v>125</v>
      </c>
      <c r="C241" s="44">
        <v>150.0</v>
      </c>
      <c r="D241" s="44">
        <f t="shared" si="17"/>
        <v>3605</v>
      </c>
      <c r="E241" s="44">
        <f t="shared" si="18"/>
        <v>4200</v>
      </c>
    </row>
    <row r="242" ht="15.75" customHeight="1">
      <c r="A242" s="41">
        <v>45533.0</v>
      </c>
      <c r="B242" s="42">
        <f>20+30+38+30</f>
        <v>118</v>
      </c>
      <c r="C242" s="42">
        <v>150.0</v>
      </c>
      <c r="D242" s="42">
        <f t="shared" si="17"/>
        <v>3723</v>
      </c>
      <c r="E242" s="42">
        <f t="shared" si="18"/>
        <v>4350</v>
      </c>
    </row>
    <row r="243" ht="15.75" customHeight="1">
      <c r="A243" s="43">
        <v>45534.0</v>
      </c>
      <c r="B243" s="44">
        <f>51+10</f>
        <v>61</v>
      </c>
      <c r="C243" s="44">
        <v>150.0</v>
      </c>
      <c r="D243" s="44">
        <f t="shared" si="17"/>
        <v>3784</v>
      </c>
      <c r="E243" s="44">
        <f t="shared" si="18"/>
        <v>4500</v>
      </c>
    </row>
    <row r="244" ht="15.75" customHeight="1">
      <c r="A244" s="41">
        <v>45535.0</v>
      </c>
      <c r="B244" s="42">
        <f>40+20+10+55</f>
        <v>125</v>
      </c>
      <c r="C244" s="42">
        <v>150.0</v>
      </c>
      <c r="D244" s="42">
        <f t="shared" si="17"/>
        <v>3909</v>
      </c>
      <c r="E244" s="42">
        <f t="shared" si="18"/>
        <v>4650</v>
      </c>
    </row>
    <row r="245" ht="15.75" customHeight="1">
      <c r="A245" s="35">
        <v>45536.0</v>
      </c>
      <c r="B245" s="7">
        <v>614.0</v>
      </c>
      <c r="C245" s="7">
        <v>150.0</v>
      </c>
      <c r="D245" s="7">
        <v>614.0</v>
      </c>
      <c r="E245" s="7">
        <v>150.0</v>
      </c>
      <c r="G245" s="3" t="s">
        <v>14</v>
      </c>
      <c r="H245" s="3">
        <v>3000.0</v>
      </c>
    </row>
    <row r="246" ht="15.75" customHeight="1">
      <c r="A246" s="35">
        <v>45537.0</v>
      </c>
      <c r="B246" s="7">
        <v>80.0</v>
      </c>
      <c r="C246" s="7">
        <v>150.0</v>
      </c>
      <c r="D246" s="7">
        <v>694.0</v>
      </c>
      <c r="E246" s="7">
        <v>300.0</v>
      </c>
      <c r="G246" s="3" t="s">
        <v>8</v>
      </c>
      <c r="H246" s="3">
        <v>2000.0</v>
      </c>
    </row>
    <row r="247" ht="15.75" customHeight="1">
      <c r="A247" s="35">
        <v>45538.0</v>
      </c>
      <c r="B247" s="7">
        <v>40.0</v>
      </c>
      <c r="C247" s="7">
        <v>150.0</v>
      </c>
      <c r="D247" s="7">
        <v>734.0</v>
      </c>
      <c r="E247" s="7">
        <v>450.0</v>
      </c>
      <c r="G247" s="3" t="s">
        <v>10</v>
      </c>
      <c r="H247" s="3">
        <v>8000.0</v>
      </c>
    </row>
    <row r="248" ht="15.75" customHeight="1">
      <c r="A248" s="35">
        <v>45539.0</v>
      </c>
      <c r="B248" s="7">
        <v>150.0</v>
      </c>
      <c r="C248" s="7">
        <v>150.0</v>
      </c>
      <c r="D248" s="7">
        <v>884.0</v>
      </c>
      <c r="E248" s="7">
        <v>600.0</v>
      </c>
      <c r="G248" s="3" t="s">
        <v>11</v>
      </c>
      <c r="H248" s="3" t="str">
        <f>#REF!</f>
        <v>#REF!</v>
      </c>
    </row>
    <row r="249" ht="15.75" customHeight="1">
      <c r="A249" s="35">
        <v>45540.0</v>
      </c>
      <c r="B249" s="7">
        <v>360.0</v>
      </c>
      <c r="C249" s="7">
        <v>150.0</v>
      </c>
      <c r="D249" s="7">
        <v>1244.0</v>
      </c>
      <c r="E249" s="7">
        <v>750.0</v>
      </c>
      <c r="G249" s="3" t="s">
        <v>134</v>
      </c>
      <c r="H249" s="3">
        <v>150.0</v>
      </c>
    </row>
    <row r="250" ht="15.75" customHeight="1">
      <c r="A250" s="35">
        <v>45541.0</v>
      </c>
      <c r="B250" s="7">
        <v>136.0</v>
      </c>
      <c r="C250" s="7">
        <v>150.0</v>
      </c>
      <c r="D250" s="7">
        <v>1380.0</v>
      </c>
      <c r="E250" s="7">
        <v>900.0</v>
      </c>
      <c r="G250" s="3" t="s">
        <v>131</v>
      </c>
      <c r="H250" s="3">
        <v>800.0</v>
      </c>
    </row>
    <row r="251" ht="15.75" customHeight="1">
      <c r="A251" s="35">
        <v>45542.0</v>
      </c>
      <c r="C251" s="7">
        <v>150.0</v>
      </c>
      <c r="D251" s="7">
        <v>1380.0</v>
      </c>
      <c r="E251" s="7">
        <v>1050.0</v>
      </c>
      <c r="G251" s="3" t="s">
        <v>136</v>
      </c>
      <c r="H251" s="3">
        <v>2000.0</v>
      </c>
    </row>
    <row r="252" ht="15.75" customHeight="1">
      <c r="A252" s="35">
        <v>45543.0</v>
      </c>
      <c r="C252" s="7">
        <v>150.0</v>
      </c>
      <c r="D252" s="7">
        <v>1380.0</v>
      </c>
      <c r="E252" s="7">
        <v>1200.0</v>
      </c>
      <c r="G252" s="3" t="s">
        <v>137</v>
      </c>
      <c r="H252" s="3">
        <v>1156.0</v>
      </c>
    </row>
    <row r="253" ht="15.75" customHeight="1">
      <c r="A253" s="35">
        <v>45544.0</v>
      </c>
      <c r="C253" s="7">
        <v>150.0</v>
      </c>
      <c r="D253" s="7">
        <v>1380.0</v>
      </c>
      <c r="E253" s="7">
        <v>1350.0</v>
      </c>
      <c r="G253" s="3" t="s">
        <v>138</v>
      </c>
      <c r="H253" s="3">
        <v>580.0</v>
      </c>
    </row>
    <row r="254" ht="15.75" customHeight="1">
      <c r="A254" s="35">
        <v>45545.0</v>
      </c>
      <c r="B254" s="7">
        <v>166.0</v>
      </c>
      <c r="C254" s="7">
        <v>150.0</v>
      </c>
      <c r="D254" s="7">
        <v>1546.0</v>
      </c>
      <c r="E254" s="7">
        <v>1500.0</v>
      </c>
    </row>
    <row r="255" ht="15.75" customHeight="1">
      <c r="A255" s="35">
        <v>45546.0</v>
      </c>
      <c r="B255" s="7">
        <v>55.0</v>
      </c>
      <c r="C255" s="7">
        <v>150.0</v>
      </c>
      <c r="D255" s="7">
        <v>1601.0</v>
      </c>
      <c r="E255" s="7">
        <v>1650.0</v>
      </c>
    </row>
    <row r="256" ht="15.75" customHeight="1">
      <c r="A256" s="35">
        <v>45547.0</v>
      </c>
      <c r="B256" s="7">
        <v>125.0</v>
      </c>
      <c r="C256" s="7">
        <v>150.0</v>
      </c>
      <c r="D256" s="7">
        <v>1726.0</v>
      </c>
      <c r="E256" s="7">
        <v>1800.0</v>
      </c>
    </row>
    <row r="257" ht="15.75" customHeight="1">
      <c r="A257" s="35">
        <v>45548.0</v>
      </c>
      <c r="B257" s="7">
        <v>150.0</v>
      </c>
      <c r="C257" s="7">
        <v>150.0</v>
      </c>
      <c r="D257" s="7">
        <v>1876.0</v>
      </c>
      <c r="E257" s="7">
        <v>1950.0</v>
      </c>
    </row>
    <row r="258" ht="15.75" customHeight="1">
      <c r="A258" s="35">
        <v>45549.0</v>
      </c>
      <c r="B258" s="7">
        <v>120.0</v>
      </c>
      <c r="C258" s="7">
        <v>150.0</v>
      </c>
      <c r="D258" s="7">
        <v>1996.0</v>
      </c>
      <c r="E258" s="7">
        <v>2100.0</v>
      </c>
    </row>
    <row r="259" ht="15.75" customHeight="1">
      <c r="A259" s="35">
        <v>45550.0</v>
      </c>
      <c r="B259" s="7">
        <v>299.0</v>
      </c>
      <c r="C259" s="7">
        <v>150.0</v>
      </c>
      <c r="D259" s="7">
        <v>2295.0</v>
      </c>
      <c r="E259" s="7">
        <v>2250.0</v>
      </c>
    </row>
    <row r="260" ht="15.75" customHeight="1">
      <c r="A260" s="35">
        <v>45551.0</v>
      </c>
      <c r="B260" s="7">
        <v>80.0</v>
      </c>
      <c r="C260" s="7">
        <v>150.0</v>
      </c>
      <c r="D260" s="7">
        <v>2375.0</v>
      </c>
      <c r="E260" s="7">
        <v>2400.0</v>
      </c>
    </row>
    <row r="261" ht="15.75" customHeight="1">
      <c r="A261" s="35">
        <v>45552.0</v>
      </c>
      <c r="B261" s="7">
        <v>145.0</v>
      </c>
      <c r="C261" s="7">
        <v>150.0</v>
      </c>
      <c r="D261" s="7">
        <v>2520.0</v>
      </c>
      <c r="E261" s="7">
        <v>2550.0</v>
      </c>
    </row>
    <row r="262" ht="15.75" customHeight="1">
      <c r="A262" s="35">
        <v>45553.0</v>
      </c>
      <c r="B262" s="7">
        <v>130.0</v>
      </c>
      <c r="C262" s="7">
        <v>150.0</v>
      </c>
      <c r="D262" s="7">
        <v>2650.0</v>
      </c>
      <c r="E262" s="7">
        <v>2700.0</v>
      </c>
    </row>
    <row r="263" ht="15.75" customHeight="1">
      <c r="A263" s="35">
        <v>45554.0</v>
      </c>
      <c r="B263" s="7">
        <v>160.0</v>
      </c>
      <c r="C263" s="7">
        <v>150.0</v>
      </c>
      <c r="D263" s="7">
        <v>2810.0</v>
      </c>
      <c r="E263" s="7">
        <v>2850.0</v>
      </c>
    </row>
    <row r="264" ht="15.75" customHeight="1">
      <c r="A264" s="35">
        <v>45555.0</v>
      </c>
      <c r="B264" s="7">
        <v>100.0</v>
      </c>
      <c r="C264" s="7">
        <v>150.0</v>
      </c>
      <c r="D264" s="7">
        <v>2910.0</v>
      </c>
      <c r="E264" s="7">
        <v>3000.0</v>
      </c>
    </row>
    <row r="265" ht="15.75" customHeight="1">
      <c r="A265" s="35">
        <v>45556.0</v>
      </c>
      <c r="B265" s="7">
        <v>125.0</v>
      </c>
      <c r="C265" s="7">
        <v>150.0</v>
      </c>
      <c r="D265" s="7">
        <v>3035.0</v>
      </c>
      <c r="E265" s="7">
        <v>3150.0</v>
      </c>
    </row>
    <row r="266" ht="15.75" customHeight="1">
      <c r="A266" s="35">
        <v>45557.0</v>
      </c>
      <c r="B266" s="7">
        <v>659.0</v>
      </c>
      <c r="C266" s="7">
        <v>150.0</v>
      </c>
      <c r="D266" s="7">
        <v>3694.0</v>
      </c>
      <c r="E266" s="7">
        <v>3300.0</v>
      </c>
    </row>
    <row r="267" ht="15.75" customHeight="1">
      <c r="A267" s="35">
        <v>45558.0</v>
      </c>
      <c r="B267" s="7">
        <v>125.0</v>
      </c>
      <c r="C267" s="7">
        <v>150.0</v>
      </c>
      <c r="D267" s="7">
        <v>3819.0</v>
      </c>
      <c r="E267" s="7">
        <v>3450.0</v>
      </c>
    </row>
    <row r="268" ht="15.75" customHeight="1">
      <c r="A268" s="35">
        <v>45559.0</v>
      </c>
      <c r="B268" s="7">
        <v>115.0</v>
      </c>
      <c r="C268" s="7">
        <v>150.0</v>
      </c>
      <c r="D268" s="7">
        <v>3934.0</v>
      </c>
      <c r="E268" s="7">
        <v>3600.0</v>
      </c>
    </row>
    <row r="269" ht="15.75" customHeight="1">
      <c r="A269" s="35">
        <v>45560.0</v>
      </c>
      <c r="B269" s="7">
        <v>80.0</v>
      </c>
      <c r="C269" s="7">
        <v>150.0</v>
      </c>
      <c r="D269" s="7">
        <v>4014.0</v>
      </c>
      <c r="E269" s="7">
        <v>3750.0</v>
      </c>
    </row>
    <row r="270" ht="15.75" customHeight="1">
      <c r="A270" s="35">
        <v>45561.0</v>
      </c>
      <c r="B270" s="7">
        <v>50.0</v>
      </c>
      <c r="C270" s="7">
        <v>150.0</v>
      </c>
      <c r="D270" s="7">
        <v>4064.0</v>
      </c>
      <c r="E270" s="7">
        <v>3900.0</v>
      </c>
    </row>
    <row r="271" ht="15.75" customHeight="1">
      <c r="A271" s="35">
        <v>45562.0</v>
      </c>
      <c r="B271" s="7">
        <v>20.0</v>
      </c>
      <c r="C271" s="7">
        <v>150.0</v>
      </c>
      <c r="D271" s="7">
        <v>4084.0</v>
      </c>
      <c r="E271" s="7">
        <v>4050.0</v>
      </c>
    </row>
    <row r="272" ht="15.75" customHeight="1">
      <c r="A272" s="35">
        <v>45563.0</v>
      </c>
      <c r="B272" s="7">
        <v>50.0</v>
      </c>
      <c r="C272" s="7">
        <v>150.0</v>
      </c>
      <c r="D272" s="7">
        <v>4134.0</v>
      </c>
      <c r="E272" s="7">
        <v>4200.0</v>
      </c>
    </row>
    <row r="273" ht="15.75" customHeight="1">
      <c r="A273" s="35">
        <v>45564.0</v>
      </c>
      <c r="B273" s="7">
        <v>578.0</v>
      </c>
      <c r="C273" s="7">
        <v>150.0</v>
      </c>
      <c r="D273" s="7">
        <v>4712.0</v>
      </c>
      <c r="E273" s="7">
        <v>4350.0</v>
      </c>
    </row>
    <row r="274" ht="15.75" customHeight="1">
      <c r="A274" s="35">
        <v>45565.0</v>
      </c>
      <c r="B274" s="7">
        <v>145.0</v>
      </c>
      <c r="C274" s="7">
        <v>150.0</v>
      </c>
      <c r="D274" s="7">
        <v>4857.0</v>
      </c>
      <c r="E274" s="7">
        <v>4500.0</v>
      </c>
    </row>
    <row r="275" ht="15.75" customHeight="1">
      <c r="A275" s="41">
        <v>45566.0</v>
      </c>
      <c r="B275" s="42">
        <f>65+20+10</f>
        <v>95</v>
      </c>
      <c r="C275" s="42">
        <v>150.0</v>
      </c>
      <c r="D275" s="42">
        <f t="shared" ref="D275:E275" si="19">B275</f>
        <v>95</v>
      </c>
      <c r="E275" s="42">
        <f t="shared" si="19"/>
        <v>150</v>
      </c>
      <c r="G275" s="3" t="s">
        <v>131</v>
      </c>
      <c r="H275" s="3">
        <v>800.0</v>
      </c>
    </row>
    <row r="276" ht="15.75" customHeight="1">
      <c r="A276" s="43">
        <v>45567.0</v>
      </c>
      <c r="B276" s="44">
        <f>70+12+25+12</f>
        <v>119</v>
      </c>
      <c r="C276" s="44">
        <v>150.0</v>
      </c>
      <c r="D276" s="44">
        <f t="shared" ref="D276:D304" si="20">D275+B276</f>
        <v>214</v>
      </c>
      <c r="E276" s="44">
        <f>C276+C275</f>
        <v>300</v>
      </c>
      <c r="G276" s="3" t="s">
        <v>8</v>
      </c>
      <c r="H276" s="3">
        <v>2000.0</v>
      </c>
    </row>
    <row r="277" ht="15.75" customHeight="1">
      <c r="A277" s="41">
        <v>45568.0</v>
      </c>
      <c r="B277" s="42">
        <v>70.0</v>
      </c>
      <c r="C277" s="42">
        <v>150.0</v>
      </c>
      <c r="D277" s="42">
        <f t="shared" si="20"/>
        <v>284</v>
      </c>
      <c r="E277" s="42">
        <f>C277+E276</f>
        <v>450</v>
      </c>
      <c r="G277" s="3" t="s">
        <v>10</v>
      </c>
      <c r="H277" s="3">
        <v>11000.0</v>
      </c>
    </row>
    <row r="278" ht="15.75" customHeight="1">
      <c r="A278" s="43">
        <v>45569.0</v>
      </c>
      <c r="B278" s="44">
        <f>80+25</f>
        <v>105</v>
      </c>
      <c r="C278" s="44">
        <v>150.0</v>
      </c>
      <c r="D278" s="44">
        <f t="shared" si="20"/>
        <v>389</v>
      </c>
      <c r="E278" s="44">
        <f t="shared" ref="E278:E304" si="21">E277+150</f>
        <v>600</v>
      </c>
      <c r="G278" s="3" t="s">
        <v>11</v>
      </c>
      <c r="H278" s="3">
        <f>'JAN 24'!D304</f>
        <v>2108</v>
      </c>
    </row>
    <row r="279" ht="15.75" customHeight="1">
      <c r="A279" s="41">
        <v>45570.0</v>
      </c>
      <c r="B279" s="42">
        <f>40+30+46+200+51</f>
        <v>367</v>
      </c>
      <c r="C279" s="42">
        <v>150.0</v>
      </c>
      <c r="D279" s="42">
        <f t="shared" si="20"/>
        <v>756</v>
      </c>
      <c r="E279" s="42">
        <f t="shared" si="21"/>
        <v>750</v>
      </c>
      <c r="G279" s="7" t="s">
        <v>135</v>
      </c>
      <c r="H279" s="3">
        <f>1193+1102+1103+1283</f>
        <v>4681</v>
      </c>
    </row>
    <row r="280" ht="15.75" customHeight="1">
      <c r="A280" s="43">
        <v>45571.0</v>
      </c>
      <c r="B280" s="44">
        <f>66+59+50</f>
        <v>175</v>
      </c>
      <c r="C280" s="44">
        <v>150.0</v>
      </c>
      <c r="D280" s="44">
        <f t="shared" si="20"/>
        <v>931</v>
      </c>
      <c r="E280" s="44">
        <f t="shared" si="21"/>
        <v>900</v>
      </c>
      <c r="G280" s="3" t="s">
        <v>23</v>
      </c>
      <c r="H280" s="7">
        <v>2000.0</v>
      </c>
    </row>
    <row r="281" ht="15.75" customHeight="1">
      <c r="A281" s="41">
        <v>45572.0</v>
      </c>
      <c r="B281" s="42"/>
      <c r="C281" s="42">
        <v>150.0</v>
      </c>
      <c r="D281" s="42">
        <f t="shared" si="20"/>
        <v>931</v>
      </c>
      <c r="E281" s="42">
        <f t="shared" si="21"/>
        <v>1050</v>
      </c>
    </row>
    <row r="282" ht="15.75" customHeight="1">
      <c r="A282" s="43">
        <v>45573.0</v>
      </c>
      <c r="B282" s="44">
        <v>14.0</v>
      </c>
      <c r="C282" s="44">
        <v>150.0</v>
      </c>
      <c r="D282" s="44">
        <f t="shared" si="20"/>
        <v>945</v>
      </c>
      <c r="E282" s="44">
        <f t="shared" si="21"/>
        <v>1200</v>
      </c>
    </row>
    <row r="283" ht="15.75" customHeight="1">
      <c r="A283" s="41">
        <v>45574.0</v>
      </c>
      <c r="B283" s="42">
        <f>80+78</f>
        <v>158</v>
      </c>
      <c r="C283" s="42">
        <v>150.0</v>
      </c>
      <c r="D283" s="42">
        <f t="shared" si="20"/>
        <v>1103</v>
      </c>
      <c r="E283" s="42">
        <f t="shared" si="21"/>
        <v>1350</v>
      </c>
    </row>
    <row r="284" ht="15.75" customHeight="1">
      <c r="A284" s="43">
        <v>45575.0</v>
      </c>
      <c r="B284" s="44">
        <v>80.0</v>
      </c>
      <c r="C284" s="44">
        <v>150.0</v>
      </c>
      <c r="D284" s="44">
        <f t="shared" si="20"/>
        <v>1183</v>
      </c>
      <c r="E284" s="44">
        <f t="shared" si="21"/>
        <v>1500</v>
      </c>
    </row>
    <row r="285" ht="15.75" customHeight="1">
      <c r="A285" s="41">
        <v>45576.0</v>
      </c>
      <c r="B285" s="42"/>
      <c r="C285" s="42">
        <v>150.0</v>
      </c>
      <c r="D285" s="42">
        <f t="shared" si="20"/>
        <v>1183</v>
      </c>
      <c r="E285" s="42">
        <f t="shared" si="21"/>
        <v>1650</v>
      </c>
    </row>
    <row r="286" ht="15.75" customHeight="1">
      <c r="A286" s="43">
        <v>45577.0</v>
      </c>
      <c r="B286" s="44"/>
      <c r="C286" s="44">
        <v>150.0</v>
      </c>
      <c r="D286" s="44">
        <f t="shared" si="20"/>
        <v>1183</v>
      </c>
      <c r="E286" s="44">
        <f t="shared" si="21"/>
        <v>1800</v>
      </c>
    </row>
    <row r="287" ht="15.75" customHeight="1">
      <c r="A287" s="41">
        <v>45578.0</v>
      </c>
      <c r="B287" s="42"/>
      <c r="C287" s="42">
        <v>150.0</v>
      </c>
      <c r="D287" s="42">
        <f t="shared" si="20"/>
        <v>1183</v>
      </c>
      <c r="E287" s="42">
        <f t="shared" si="21"/>
        <v>1950</v>
      </c>
    </row>
    <row r="288" ht="15.75" customHeight="1">
      <c r="A288" s="43">
        <v>45579.0</v>
      </c>
      <c r="B288" s="44">
        <v>30.0</v>
      </c>
      <c r="C288" s="44">
        <v>150.0</v>
      </c>
      <c r="D288" s="44">
        <f t="shared" si="20"/>
        <v>1213</v>
      </c>
      <c r="E288" s="44">
        <f t="shared" si="21"/>
        <v>2100</v>
      </c>
    </row>
    <row r="289" ht="15.75" customHeight="1">
      <c r="A289" s="41">
        <v>45580.0</v>
      </c>
      <c r="B289" s="42"/>
      <c r="C289" s="42">
        <v>150.0</v>
      </c>
      <c r="D289" s="42">
        <f t="shared" si="20"/>
        <v>1213</v>
      </c>
      <c r="E289" s="42">
        <f t="shared" si="21"/>
        <v>2250</v>
      </c>
    </row>
    <row r="290" ht="15.75" customHeight="1">
      <c r="A290" s="43">
        <v>45581.0</v>
      </c>
      <c r="B290" s="44">
        <v>10.0</v>
      </c>
      <c r="C290" s="44">
        <v>150.0</v>
      </c>
      <c r="D290" s="44">
        <f t="shared" si="20"/>
        <v>1223</v>
      </c>
      <c r="E290" s="44">
        <f t="shared" si="21"/>
        <v>2400</v>
      </c>
    </row>
    <row r="291" ht="15.75" customHeight="1">
      <c r="A291" s="41">
        <v>45582.0</v>
      </c>
      <c r="B291" s="42">
        <v>13.0</v>
      </c>
      <c r="C291" s="42">
        <v>150.0</v>
      </c>
      <c r="D291" s="42">
        <f t="shared" si="20"/>
        <v>1236</v>
      </c>
      <c r="E291" s="42">
        <f t="shared" si="21"/>
        <v>2550</v>
      </c>
    </row>
    <row r="292" ht="15.75" customHeight="1">
      <c r="A292" s="43">
        <v>45583.0</v>
      </c>
      <c r="B292" s="44">
        <f>15+40</f>
        <v>55</v>
      </c>
      <c r="C292" s="44">
        <v>150.0</v>
      </c>
      <c r="D292" s="44">
        <f t="shared" si="20"/>
        <v>1291</v>
      </c>
      <c r="E292" s="44">
        <f t="shared" si="21"/>
        <v>2700</v>
      </c>
    </row>
    <row r="293" ht="15.75" customHeight="1">
      <c r="A293" s="41">
        <v>45584.0</v>
      </c>
      <c r="B293" s="42">
        <f>70+15+20</f>
        <v>105</v>
      </c>
      <c r="C293" s="42">
        <v>150.0</v>
      </c>
      <c r="D293" s="42">
        <f t="shared" si="20"/>
        <v>1396</v>
      </c>
      <c r="E293" s="42">
        <f t="shared" si="21"/>
        <v>2850</v>
      </c>
    </row>
    <row r="294" ht="15.75" customHeight="1">
      <c r="A294" s="43">
        <v>45585.0</v>
      </c>
      <c r="B294" s="44">
        <f>20+132+20</f>
        <v>172</v>
      </c>
      <c r="C294" s="44">
        <v>150.0</v>
      </c>
      <c r="D294" s="44">
        <f t="shared" si="20"/>
        <v>1568</v>
      </c>
      <c r="E294" s="44">
        <f t="shared" si="21"/>
        <v>3000</v>
      </c>
    </row>
    <row r="295" ht="15.75" customHeight="1">
      <c r="A295" s="41">
        <v>45586.0</v>
      </c>
      <c r="B295" s="42">
        <v>75.0</v>
      </c>
      <c r="C295" s="42">
        <v>150.0</v>
      </c>
      <c r="D295" s="42">
        <f t="shared" si="20"/>
        <v>1643</v>
      </c>
      <c r="E295" s="42">
        <f t="shared" si="21"/>
        <v>3150</v>
      </c>
    </row>
    <row r="296" ht="15.75" customHeight="1">
      <c r="A296" s="43">
        <v>45587.0</v>
      </c>
      <c r="B296" s="44">
        <v>10.0</v>
      </c>
      <c r="C296" s="44">
        <v>150.0</v>
      </c>
      <c r="D296" s="44">
        <f t="shared" si="20"/>
        <v>1653</v>
      </c>
      <c r="E296" s="44">
        <f t="shared" si="21"/>
        <v>3300</v>
      </c>
    </row>
    <row r="297" ht="15.75" customHeight="1">
      <c r="A297" s="41">
        <v>45588.0</v>
      </c>
      <c r="B297" s="42">
        <v>50.0</v>
      </c>
      <c r="C297" s="42">
        <v>150.0</v>
      </c>
      <c r="D297" s="42">
        <f t="shared" si="20"/>
        <v>1703</v>
      </c>
      <c r="E297" s="42">
        <f t="shared" si="21"/>
        <v>3450</v>
      </c>
    </row>
    <row r="298" ht="15.75" customHeight="1">
      <c r="A298" s="43">
        <v>45589.0</v>
      </c>
      <c r="B298" s="44">
        <f>30+70+10</f>
        <v>110</v>
      </c>
      <c r="C298" s="44">
        <v>150.0</v>
      </c>
      <c r="D298" s="44">
        <f t="shared" si="20"/>
        <v>1813</v>
      </c>
      <c r="E298" s="44">
        <f t="shared" si="21"/>
        <v>3600</v>
      </c>
    </row>
    <row r="299" ht="15.75" customHeight="1">
      <c r="A299" s="41">
        <v>45590.0</v>
      </c>
      <c r="B299" s="42">
        <v>35.0</v>
      </c>
      <c r="C299" s="42">
        <v>150.0</v>
      </c>
      <c r="D299" s="42">
        <f t="shared" si="20"/>
        <v>1848</v>
      </c>
      <c r="E299" s="42">
        <f t="shared" si="21"/>
        <v>3750</v>
      </c>
    </row>
    <row r="300" ht="15.75" customHeight="1">
      <c r="A300" s="43">
        <v>45591.0</v>
      </c>
      <c r="B300" s="44">
        <v>40.0</v>
      </c>
      <c r="C300" s="44">
        <v>150.0</v>
      </c>
      <c r="D300" s="44">
        <f t="shared" si="20"/>
        <v>1888</v>
      </c>
      <c r="E300" s="44">
        <f t="shared" si="21"/>
        <v>3900</v>
      </c>
    </row>
    <row r="301" ht="15.75" customHeight="1">
      <c r="A301" s="41">
        <v>45592.0</v>
      </c>
      <c r="B301" s="42">
        <v>220.0</v>
      </c>
      <c r="C301" s="42">
        <v>150.0</v>
      </c>
      <c r="D301" s="42">
        <f t="shared" si="20"/>
        <v>2108</v>
      </c>
      <c r="E301" s="42">
        <f t="shared" si="21"/>
        <v>4050</v>
      </c>
    </row>
    <row r="302" ht="15.75" customHeight="1">
      <c r="A302" s="43">
        <v>45593.0</v>
      </c>
      <c r="B302" s="44"/>
      <c r="C302" s="44">
        <v>150.0</v>
      </c>
      <c r="D302" s="44">
        <f t="shared" si="20"/>
        <v>2108</v>
      </c>
      <c r="E302" s="44">
        <f t="shared" si="21"/>
        <v>4200</v>
      </c>
    </row>
    <row r="303" ht="15.75" customHeight="1">
      <c r="A303" s="41">
        <v>45594.0</v>
      </c>
      <c r="B303" s="42"/>
      <c r="C303" s="42">
        <v>150.0</v>
      </c>
      <c r="D303" s="42">
        <f t="shared" si="20"/>
        <v>2108</v>
      </c>
      <c r="E303" s="42">
        <f t="shared" si="21"/>
        <v>4350</v>
      </c>
    </row>
    <row r="304" ht="15.75" customHeight="1">
      <c r="A304" s="43">
        <v>45595.0</v>
      </c>
      <c r="B304" s="44"/>
      <c r="C304" s="44">
        <v>150.0</v>
      </c>
      <c r="D304" s="44">
        <f t="shared" si="20"/>
        <v>2108</v>
      </c>
      <c r="E304" s="44">
        <f t="shared" si="21"/>
        <v>4500</v>
      </c>
    </row>
    <row r="305" ht="15.75" customHeight="1">
      <c r="A305" s="41">
        <v>45597.0</v>
      </c>
      <c r="B305" s="42"/>
      <c r="C305" s="42">
        <v>150.0</v>
      </c>
      <c r="D305" s="42" t="str">
        <f t="shared" ref="D305:E305" si="22">B305</f>
        <v/>
      </c>
      <c r="E305" s="42">
        <f t="shared" si="22"/>
        <v>150</v>
      </c>
      <c r="G305" s="3" t="s">
        <v>131</v>
      </c>
      <c r="H305" s="3">
        <v>800.0</v>
      </c>
    </row>
    <row r="306" ht="15.75" customHeight="1">
      <c r="A306" s="43">
        <v>45598.0</v>
      </c>
      <c r="B306" s="44"/>
      <c r="C306" s="44">
        <v>150.0</v>
      </c>
      <c r="D306" s="44">
        <f t="shared" ref="D306:D334" si="23">D305+B306</f>
        <v>0</v>
      </c>
      <c r="E306" s="44">
        <f>C306+C305</f>
        <v>300</v>
      </c>
      <c r="G306" s="3" t="s">
        <v>8</v>
      </c>
      <c r="H306" s="3">
        <v>5000.0</v>
      </c>
    </row>
    <row r="307" ht="15.75" customHeight="1">
      <c r="A307" s="41">
        <v>45599.0</v>
      </c>
      <c r="B307" s="42">
        <f>69+120+30</f>
        <v>219</v>
      </c>
      <c r="C307" s="42">
        <v>150.0</v>
      </c>
      <c r="D307" s="42">
        <f t="shared" si="23"/>
        <v>219</v>
      </c>
      <c r="E307" s="42">
        <f>C307+E306</f>
        <v>450</v>
      </c>
      <c r="G307" s="3" t="s">
        <v>10</v>
      </c>
      <c r="H307" s="3">
        <v>7000.0</v>
      </c>
    </row>
    <row r="308" ht="15.75" customHeight="1">
      <c r="A308" s="43">
        <v>45600.0</v>
      </c>
      <c r="B308" s="44">
        <v>20.0</v>
      </c>
      <c r="C308" s="44">
        <v>150.0</v>
      </c>
      <c r="D308" s="44">
        <f t="shared" si="23"/>
        <v>239</v>
      </c>
      <c r="E308" s="44">
        <f t="shared" ref="E308:E334" si="24">E307+150</f>
        <v>600</v>
      </c>
      <c r="G308" s="3" t="s">
        <v>11</v>
      </c>
      <c r="H308" s="3">
        <f>'JAN 24'!D334</f>
        <v>2433</v>
      </c>
    </row>
    <row r="309" ht="15.75" customHeight="1">
      <c r="A309" s="41">
        <v>45601.0</v>
      </c>
      <c r="B309" s="42">
        <v>200.0</v>
      </c>
      <c r="C309" s="42">
        <v>150.0</v>
      </c>
      <c r="D309" s="42">
        <f t="shared" si="23"/>
        <v>439</v>
      </c>
      <c r="E309" s="42">
        <f t="shared" si="24"/>
        <v>750</v>
      </c>
      <c r="G309" s="7" t="s">
        <v>135</v>
      </c>
      <c r="H309" s="7">
        <v>6000.0</v>
      </c>
    </row>
    <row r="310" ht="15.75" customHeight="1">
      <c r="A310" s="43">
        <v>45602.0</v>
      </c>
      <c r="B310" s="44">
        <v>130.0</v>
      </c>
      <c r="C310" s="44">
        <v>150.0</v>
      </c>
      <c r="D310" s="44">
        <f t="shared" si="23"/>
        <v>569</v>
      </c>
      <c r="E310" s="44">
        <f t="shared" si="24"/>
        <v>900</v>
      </c>
      <c r="G310" s="3" t="s">
        <v>23</v>
      </c>
      <c r="H310" s="7">
        <v>700.0</v>
      </c>
    </row>
    <row r="311" ht="15.75" customHeight="1">
      <c r="A311" s="41">
        <v>45603.0</v>
      </c>
      <c r="B311" s="42"/>
      <c r="C311" s="42">
        <v>150.0</v>
      </c>
      <c r="D311" s="42">
        <f t="shared" si="23"/>
        <v>569</v>
      </c>
      <c r="E311" s="42">
        <f t="shared" si="24"/>
        <v>1050</v>
      </c>
      <c r="G311" s="7" t="s">
        <v>139</v>
      </c>
      <c r="H311" s="3">
        <v>400.0</v>
      </c>
    </row>
    <row r="312" ht="15.75" customHeight="1">
      <c r="A312" s="43">
        <v>45604.0</v>
      </c>
      <c r="B312" s="44">
        <v>80.0</v>
      </c>
      <c r="C312" s="44">
        <v>150.0</v>
      </c>
      <c r="D312" s="44">
        <f t="shared" si="23"/>
        <v>649</v>
      </c>
      <c r="E312" s="44">
        <f t="shared" si="24"/>
        <v>1200</v>
      </c>
    </row>
    <row r="313" ht="15.75" customHeight="1">
      <c r="A313" s="41">
        <v>45605.0</v>
      </c>
      <c r="B313" s="42">
        <v>60.0</v>
      </c>
      <c r="C313" s="42">
        <v>150.0</v>
      </c>
      <c r="D313" s="42">
        <f t="shared" si="23"/>
        <v>709</v>
      </c>
      <c r="E313" s="42">
        <f t="shared" si="24"/>
        <v>1350</v>
      </c>
    </row>
    <row r="314" ht="15.75" customHeight="1">
      <c r="A314" s="43">
        <v>45606.0</v>
      </c>
      <c r="B314" s="44">
        <f>30+45+55+15</f>
        <v>145</v>
      </c>
      <c r="C314" s="44">
        <v>150.0</v>
      </c>
      <c r="D314" s="44">
        <f t="shared" si="23"/>
        <v>854</v>
      </c>
      <c r="E314" s="44">
        <f t="shared" si="24"/>
        <v>1500</v>
      </c>
    </row>
    <row r="315" ht="15.75" customHeight="1">
      <c r="A315" s="41">
        <v>45607.0</v>
      </c>
      <c r="B315" s="42">
        <v>35.0</v>
      </c>
      <c r="C315" s="42">
        <v>150.0</v>
      </c>
      <c r="D315" s="42">
        <f t="shared" si="23"/>
        <v>889</v>
      </c>
      <c r="E315" s="42">
        <f t="shared" si="24"/>
        <v>1650</v>
      </c>
    </row>
    <row r="316" ht="15.75" customHeight="1">
      <c r="A316" s="43">
        <v>45608.0</v>
      </c>
      <c r="B316" s="44"/>
      <c r="C316" s="44">
        <v>150.0</v>
      </c>
      <c r="D316" s="44">
        <f t="shared" si="23"/>
        <v>889</v>
      </c>
      <c r="E316" s="44">
        <f t="shared" si="24"/>
        <v>1800</v>
      </c>
    </row>
    <row r="317" ht="15.75" customHeight="1">
      <c r="A317" s="41">
        <v>45609.0</v>
      </c>
      <c r="B317" s="42">
        <v>100.0</v>
      </c>
      <c r="C317" s="42">
        <v>150.0</v>
      </c>
      <c r="D317" s="42">
        <f t="shared" si="23"/>
        <v>989</v>
      </c>
      <c r="E317" s="42">
        <f t="shared" si="24"/>
        <v>1950</v>
      </c>
    </row>
    <row r="318" ht="15.75" customHeight="1">
      <c r="A318" s="43">
        <v>45610.0</v>
      </c>
      <c r="B318" s="44">
        <v>100.0</v>
      </c>
      <c r="C318" s="44">
        <v>150.0</v>
      </c>
      <c r="D318" s="44">
        <f t="shared" si="23"/>
        <v>1089</v>
      </c>
      <c r="E318" s="44">
        <f t="shared" si="24"/>
        <v>2100</v>
      </c>
    </row>
    <row r="319" ht="15.75" customHeight="1">
      <c r="A319" s="41">
        <v>45611.0</v>
      </c>
      <c r="B319" s="42">
        <v>15.0</v>
      </c>
      <c r="C319" s="42">
        <v>150.0</v>
      </c>
      <c r="D319" s="42">
        <f t="shared" si="23"/>
        <v>1104</v>
      </c>
      <c r="E319" s="42">
        <f t="shared" si="24"/>
        <v>2250</v>
      </c>
    </row>
    <row r="320" ht="15.75" customHeight="1">
      <c r="A320" s="43">
        <v>45612.0</v>
      </c>
      <c r="B320" s="44">
        <f>75+20+25+10</f>
        <v>130</v>
      </c>
      <c r="C320" s="44">
        <v>150.0</v>
      </c>
      <c r="D320" s="44">
        <f t="shared" si="23"/>
        <v>1234</v>
      </c>
      <c r="E320" s="44">
        <f t="shared" si="24"/>
        <v>2400</v>
      </c>
    </row>
    <row r="321" ht="15.75" customHeight="1">
      <c r="A321" s="41">
        <v>45613.0</v>
      </c>
      <c r="B321" s="42">
        <f>220+120+26+26</f>
        <v>392</v>
      </c>
      <c r="C321" s="42">
        <v>150.0</v>
      </c>
      <c r="D321" s="42">
        <f t="shared" si="23"/>
        <v>1626</v>
      </c>
      <c r="E321" s="42">
        <f t="shared" si="24"/>
        <v>2550</v>
      </c>
    </row>
    <row r="322" ht="15.75" customHeight="1">
      <c r="A322" s="43">
        <v>45614.0</v>
      </c>
      <c r="B322" s="44">
        <f>20+50+30</f>
        <v>100</v>
      </c>
      <c r="C322" s="44">
        <v>150.0</v>
      </c>
      <c r="D322" s="44">
        <f t="shared" si="23"/>
        <v>1726</v>
      </c>
      <c r="E322" s="44">
        <f t="shared" si="24"/>
        <v>2700</v>
      </c>
    </row>
    <row r="323" ht="15.75" customHeight="1">
      <c r="A323" s="41">
        <v>45615.0</v>
      </c>
      <c r="B323" s="42">
        <f>50+60+30</f>
        <v>140</v>
      </c>
      <c r="C323" s="42">
        <v>150.0</v>
      </c>
      <c r="D323" s="42">
        <f t="shared" si="23"/>
        <v>1866</v>
      </c>
      <c r="E323" s="42">
        <f t="shared" si="24"/>
        <v>2850</v>
      </c>
    </row>
    <row r="324" ht="15.75" customHeight="1">
      <c r="A324" s="43">
        <v>45616.0</v>
      </c>
      <c r="B324" s="44">
        <f>20+35</f>
        <v>55</v>
      </c>
      <c r="C324" s="44">
        <v>150.0</v>
      </c>
      <c r="D324" s="44">
        <f t="shared" si="23"/>
        <v>1921</v>
      </c>
      <c r="E324" s="44">
        <f t="shared" si="24"/>
        <v>3000</v>
      </c>
    </row>
    <row r="325" ht="15.75" customHeight="1">
      <c r="A325" s="41">
        <v>45617.0</v>
      </c>
      <c r="B325" s="42">
        <v>20.0</v>
      </c>
      <c r="C325" s="42">
        <v>150.0</v>
      </c>
      <c r="D325" s="42">
        <f t="shared" si="23"/>
        <v>1941</v>
      </c>
      <c r="E325" s="42">
        <f t="shared" si="24"/>
        <v>3150</v>
      </c>
    </row>
    <row r="326" ht="15.75" customHeight="1">
      <c r="A326" s="43">
        <v>45618.0</v>
      </c>
      <c r="B326" s="44"/>
      <c r="C326" s="44">
        <v>150.0</v>
      </c>
      <c r="D326" s="44">
        <f t="shared" si="23"/>
        <v>1941</v>
      </c>
      <c r="E326" s="44">
        <f t="shared" si="24"/>
        <v>3300</v>
      </c>
    </row>
    <row r="327" ht="15.75" customHeight="1">
      <c r="A327" s="41">
        <v>45619.0</v>
      </c>
      <c r="B327" s="42"/>
      <c r="C327" s="42">
        <v>150.0</v>
      </c>
      <c r="D327" s="42">
        <f t="shared" si="23"/>
        <v>1941</v>
      </c>
      <c r="E327" s="42">
        <f t="shared" si="24"/>
        <v>3450</v>
      </c>
    </row>
    <row r="328" ht="15.75" customHeight="1">
      <c r="A328" s="43">
        <v>45620.0</v>
      </c>
      <c r="B328" s="44"/>
      <c r="C328" s="44">
        <v>150.0</v>
      </c>
      <c r="D328" s="44">
        <f t="shared" si="23"/>
        <v>1941</v>
      </c>
      <c r="E328" s="44">
        <f t="shared" si="24"/>
        <v>3600</v>
      </c>
    </row>
    <row r="329" ht="15.75" customHeight="1">
      <c r="A329" s="41">
        <v>45621.0</v>
      </c>
      <c r="B329" s="42">
        <f>60+20</f>
        <v>80</v>
      </c>
      <c r="C329" s="42">
        <v>150.0</v>
      </c>
      <c r="D329" s="42">
        <f t="shared" si="23"/>
        <v>2021</v>
      </c>
      <c r="E329" s="42">
        <f t="shared" si="24"/>
        <v>3750</v>
      </c>
    </row>
    <row r="330" ht="15.75" customHeight="1">
      <c r="A330" s="43">
        <v>45622.0</v>
      </c>
      <c r="B330" s="44">
        <v>30.0</v>
      </c>
      <c r="C330" s="44">
        <v>150.0</v>
      </c>
      <c r="D330" s="44">
        <f t="shared" si="23"/>
        <v>2051</v>
      </c>
      <c r="E330" s="44">
        <f t="shared" si="24"/>
        <v>3900</v>
      </c>
    </row>
    <row r="331" ht="15.75" customHeight="1">
      <c r="A331" s="41">
        <v>45623.0</v>
      </c>
      <c r="B331" s="42">
        <f>100+67+70</f>
        <v>237</v>
      </c>
      <c r="C331" s="42">
        <v>150.0</v>
      </c>
      <c r="D331" s="42">
        <f t="shared" si="23"/>
        <v>2288</v>
      </c>
      <c r="E331" s="42">
        <f t="shared" si="24"/>
        <v>4050</v>
      </c>
    </row>
    <row r="332" ht="15.75" customHeight="1">
      <c r="A332" s="43">
        <v>45624.0</v>
      </c>
      <c r="B332" s="44">
        <v>20.0</v>
      </c>
      <c r="C332" s="44">
        <v>150.0</v>
      </c>
      <c r="D332" s="44">
        <f t="shared" si="23"/>
        <v>2308</v>
      </c>
      <c r="E332" s="44">
        <f t="shared" si="24"/>
        <v>4200</v>
      </c>
    </row>
    <row r="333" ht="15.75" customHeight="1">
      <c r="A333" s="41">
        <v>45625.0</v>
      </c>
      <c r="B333" s="42">
        <f>35</f>
        <v>35</v>
      </c>
      <c r="C333" s="42">
        <v>150.0</v>
      </c>
      <c r="D333" s="42">
        <f t="shared" si="23"/>
        <v>2343</v>
      </c>
      <c r="E333" s="42">
        <f t="shared" si="24"/>
        <v>4350</v>
      </c>
    </row>
    <row r="334" ht="15.75" customHeight="1">
      <c r="A334" s="43">
        <v>45626.0</v>
      </c>
      <c r="B334" s="44">
        <f>60+30</f>
        <v>90</v>
      </c>
      <c r="C334" s="44">
        <v>150.0</v>
      </c>
      <c r="D334" s="44">
        <f t="shared" si="23"/>
        <v>2433</v>
      </c>
      <c r="E334" s="44">
        <f t="shared" si="24"/>
        <v>4500</v>
      </c>
    </row>
    <row r="335" ht="15.75" customHeight="1">
      <c r="A335" s="41">
        <v>45627.0</v>
      </c>
      <c r="B335" s="42">
        <v>0.0</v>
      </c>
      <c r="C335" s="42">
        <v>150.0</v>
      </c>
      <c r="D335" s="42">
        <f t="shared" ref="D335:E335" si="25">B335</f>
        <v>0</v>
      </c>
      <c r="E335" s="42">
        <f t="shared" si="25"/>
        <v>150</v>
      </c>
      <c r="H335" s="3" t="s">
        <v>131</v>
      </c>
      <c r="I335" s="3">
        <v>300.0</v>
      </c>
    </row>
    <row r="336" ht="15.75" customHeight="1">
      <c r="A336" s="43">
        <v>45628.0</v>
      </c>
      <c r="B336" s="44">
        <v>50.0</v>
      </c>
      <c r="C336" s="44">
        <v>150.0</v>
      </c>
      <c r="D336" s="44">
        <f t="shared" ref="D336:D365" si="26">D335+B336</f>
        <v>50</v>
      </c>
      <c r="E336" s="44">
        <f>C336+C335</f>
        <v>300</v>
      </c>
      <c r="H336" s="3" t="s">
        <v>8</v>
      </c>
      <c r="I336" s="3">
        <v>2000.0</v>
      </c>
    </row>
    <row r="337" ht="15.75" customHeight="1">
      <c r="A337" s="41">
        <v>45629.0</v>
      </c>
      <c r="B337" s="42">
        <f>20+12+50+70</f>
        <v>152</v>
      </c>
      <c r="C337" s="42">
        <v>150.0</v>
      </c>
      <c r="D337" s="42">
        <f t="shared" si="26"/>
        <v>202</v>
      </c>
      <c r="E337" s="42">
        <f>C337+E336</f>
        <v>450</v>
      </c>
      <c r="H337" s="3" t="s">
        <v>10</v>
      </c>
      <c r="I337" s="3">
        <v>7000.0</v>
      </c>
    </row>
    <row r="338" ht="15.75" customHeight="1">
      <c r="A338" s="43">
        <v>45630.0</v>
      </c>
      <c r="B338" s="44">
        <f>70+60</f>
        <v>130</v>
      </c>
      <c r="C338" s="44">
        <v>150.0</v>
      </c>
      <c r="D338" s="44">
        <f t="shared" si="26"/>
        <v>332</v>
      </c>
      <c r="E338" s="44">
        <f t="shared" ref="E338:E365" si="27">E337+150</f>
        <v>600</v>
      </c>
      <c r="H338" s="3" t="s">
        <v>11</v>
      </c>
      <c r="I338" s="3">
        <f>'JAN 24'!D364</f>
        <v>3259</v>
      </c>
    </row>
    <row r="339" ht="15.75" customHeight="1">
      <c r="A339" s="41">
        <v>45631.0</v>
      </c>
      <c r="B339" s="42">
        <f>30+12</f>
        <v>42</v>
      </c>
      <c r="C339" s="42">
        <v>150.0</v>
      </c>
      <c r="D339" s="42">
        <f t="shared" si="26"/>
        <v>374</v>
      </c>
      <c r="E339" s="42">
        <f t="shared" si="27"/>
        <v>750</v>
      </c>
      <c r="H339" s="3" t="s">
        <v>23</v>
      </c>
      <c r="I339" s="7">
        <v>1400.0</v>
      </c>
    </row>
    <row r="340" ht="15.75" customHeight="1">
      <c r="A340" s="43">
        <v>45632.0</v>
      </c>
      <c r="B340" s="44">
        <f>50+40</f>
        <v>90</v>
      </c>
      <c r="C340" s="44">
        <v>150.0</v>
      </c>
      <c r="D340" s="44">
        <f t="shared" si="26"/>
        <v>464</v>
      </c>
      <c r="E340" s="44">
        <f t="shared" si="27"/>
        <v>900</v>
      </c>
      <c r="H340" s="7" t="s">
        <v>140</v>
      </c>
      <c r="I340" s="3">
        <v>290.0</v>
      </c>
    </row>
    <row r="341" ht="15.75" customHeight="1">
      <c r="A341" s="41">
        <v>45633.0</v>
      </c>
      <c r="B341" s="42">
        <f>55+30+36+31</f>
        <v>152</v>
      </c>
      <c r="C341" s="42">
        <v>150.0</v>
      </c>
      <c r="D341" s="42">
        <f t="shared" si="26"/>
        <v>616</v>
      </c>
      <c r="E341" s="42">
        <f t="shared" si="27"/>
        <v>1050</v>
      </c>
    </row>
    <row r="342" ht="15.75" customHeight="1">
      <c r="A342" s="43">
        <v>45634.0</v>
      </c>
      <c r="B342" s="44">
        <f>50+36+130</f>
        <v>216</v>
      </c>
      <c r="C342" s="44">
        <v>150.0</v>
      </c>
      <c r="D342" s="44">
        <f t="shared" si="26"/>
        <v>832</v>
      </c>
      <c r="E342" s="44">
        <f t="shared" si="27"/>
        <v>1200</v>
      </c>
    </row>
    <row r="343" ht="15.75" customHeight="1">
      <c r="A343" s="41">
        <v>45635.0</v>
      </c>
      <c r="B343" s="42">
        <f>50+78+20</f>
        <v>148</v>
      </c>
      <c r="C343" s="42">
        <v>150.0</v>
      </c>
      <c r="D343" s="42">
        <f t="shared" si="26"/>
        <v>980</v>
      </c>
      <c r="E343" s="42">
        <f t="shared" si="27"/>
        <v>1350</v>
      </c>
    </row>
    <row r="344" ht="15.75" customHeight="1">
      <c r="A344" s="43">
        <v>45636.0</v>
      </c>
      <c r="B344" s="44">
        <f>40</f>
        <v>40</v>
      </c>
      <c r="C344" s="44">
        <v>150.0</v>
      </c>
      <c r="D344" s="44">
        <f t="shared" si="26"/>
        <v>1020</v>
      </c>
      <c r="E344" s="44">
        <f t="shared" si="27"/>
        <v>1500</v>
      </c>
    </row>
    <row r="345" ht="15.75" customHeight="1">
      <c r="A345" s="41">
        <v>45637.0</v>
      </c>
      <c r="B345" s="42">
        <f>25+12</f>
        <v>37</v>
      </c>
      <c r="C345" s="42">
        <v>150.0</v>
      </c>
      <c r="D345" s="42">
        <f t="shared" si="26"/>
        <v>1057</v>
      </c>
      <c r="E345" s="42">
        <f t="shared" si="27"/>
        <v>1650</v>
      </c>
    </row>
    <row r="346" ht="15.75" customHeight="1">
      <c r="A346" s="43">
        <v>45638.0</v>
      </c>
      <c r="B346" s="44">
        <v>60.0</v>
      </c>
      <c r="C346" s="44">
        <v>150.0</v>
      </c>
      <c r="D346" s="44">
        <f t="shared" si="26"/>
        <v>1117</v>
      </c>
      <c r="E346" s="44">
        <f t="shared" si="27"/>
        <v>1800</v>
      </c>
    </row>
    <row r="347" ht="15.75" customHeight="1">
      <c r="A347" s="41">
        <v>45639.0</v>
      </c>
      <c r="B347" s="42">
        <v>75.0</v>
      </c>
      <c r="C347" s="42">
        <v>150.0</v>
      </c>
      <c r="D347" s="42">
        <f t="shared" si="26"/>
        <v>1192</v>
      </c>
      <c r="E347" s="42">
        <f t="shared" si="27"/>
        <v>1950</v>
      </c>
    </row>
    <row r="348" ht="15.75" customHeight="1">
      <c r="A348" s="43">
        <v>45640.0</v>
      </c>
      <c r="B348" s="44">
        <v>20.0</v>
      </c>
      <c r="C348" s="44">
        <v>150.0</v>
      </c>
      <c r="D348" s="44">
        <f t="shared" si="26"/>
        <v>1212</v>
      </c>
      <c r="E348" s="44">
        <f t="shared" si="27"/>
        <v>2100</v>
      </c>
    </row>
    <row r="349" ht="15.75" customHeight="1">
      <c r="A349" s="41">
        <v>45641.0</v>
      </c>
      <c r="B349" s="42">
        <f>245+50+40+30+45+100+70</f>
        <v>580</v>
      </c>
      <c r="C349" s="42">
        <v>150.0</v>
      </c>
      <c r="D349" s="42">
        <f t="shared" si="26"/>
        <v>1792</v>
      </c>
      <c r="E349" s="42">
        <f t="shared" si="27"/>
        <v>2250</v>
      </c>
    </row>
    <row r="350" ht="15.75" customHeight="1">
      <c r="A350" s="43">
        <v>45642.0</v>
      </c>
      <c r="B350" s="44">
        <f>50+80</f>
        <v>130</v>
      </c>
      <c r="C350" s="44">
        <v>150.0</v>
      </c>
      <c r="D350" s="44">
        <f t="shared" si="26"/>
        <v>1922</v>
      </c>
      <c r="E350" s="44">
        <f t="shared" si="27"/>
        <v>2400</v>
      </c>
    </row>
    <row r="351" ht="15.75" customHeight="1">
      <c r="A351" s="41">
        <v>45643.0</v>
      </c>
      <c r="B351" s="42">
        <f>20+35+15</f>
        <v>70</v>
      </c>
      <c r="C351" s="42">
        <v>150.0</v>
      </c>
      <c r="D351" s="42">
        <f t="shared" si="26"/>
        <v>1992</v>
      </c>
      <c r="E351" s="42">
        <f t="shared" si="27"/>
        <v>2550</v>
      </c>
    </row>
    <row r="352" ht="15.75" customHeight="1">
      <c r="A352" s="43">
        <v>45644.0</v>
      </c>
      <c r="B352" s="44">
        <v>25.0</v>
      </c>
      <c r="C352" s="44">
        <v>150.0</v>
      </c>
      <c r="D352" s="44">
        <f t="shared" si="26"/>
        <v>2017</v>
      </c>
      <c r="E352" s="44">
        <f t="shared" si="27"/>
        <v>2700</v>
      </c>
    </row>
    <row r="353" ht="15.75" customHeight="1">
      <c r="A353" s="41">
        <v>45645.0</v>
      </c>
      <c r="B353" s="42">
        <f>165+50</f>
        <v>215</v>
      </c>
      <c r="C353" s="42">
        <v>150.0</v>
      </c>
      <c r="D353" s="42">
        <f t="shared" si="26"/>
        <v>2232</v>
      </c>
      <c r="E353" s="42">
        <f t="shared" si="27"/>
        <v>2850</v>
      </c>
    </row>
    <row r="354" ht="15.75" customHeight="1">
      <c r="A354" s="43">
        <v>45646.0</v>
      </c>
      <c r="B354" s="44">
        <v>0.0</v>
      </c>
      <c r="C354" s="44">
        <v>150.0</v>
      </c>
      <c r="D354" s="44">
        <f t="shared" si="26"/>
        <v>2232</v>
      </c>
      <c r="E354" s="44">
        <f t="shared" si="27"/>
        <v>3000</v>
      </c>
    </row>
    <row r="355" ht="15.75" customHeight="1">
      <c r="A355" s="41">
        <v>45647.0</v>
      </c>
      <c r="B355" s="42">
        <v>60.0</v>
      </c>
      <c r="C355" s="42">
        <v>150.0</v>
      </c>
      <c r="D355" s="42">
        <f t="shared" si="26"/>
        <v>2292</v>
      </c>
      <c r="E355" s="42">
        <f t="shared" si="27"/>
        <v>3150</v>
      </c>
    </row>
    <row r="356" ht="15.75" customHeight="1">
      <c r="A356" s="43">
        <v>45648.0</v>
      </c>
      <c r="B356" s="44">
        <f>33+17+26+60</f>
        <v>136</v>
      </c>
      <c r="C356" s="44">
        <v>150.0</v>
      </c>
      <c r="D356" s="44">
        <f t="shared" si="26"/>
        <v>2428</v>
      </c>
      <c r="E356" s="44">
        <f t="shared" si="27"/>
        <v>3300</v>
      </c>
    </row>
    <row r="357" ht="15.75" customHeight="1">
      <c r="A357" s="41">
        <v>45649.0</v>
      </c>
      <c r="B357" s="42">
        <f>10</f>
        <v>10</v>
      </c>
      <c r="C357" s="42">
        <v>150.0</v>
      </c>
      <c r="D357" s="42">
        <f t="shared" si="26"/>
        <v>2438</v>
      </c>
      <c r="E357" s="42">
        <f t="shared" si="27"/>
        <v>3450</v>
      </c>
    </row>
    <row r="358" ht="15.75" customHeight="1">
      <c r="A358" s="43">
        <v>45650.0</v>
      </c>
      <c r="B358" s="44">
        <v>20.0</v>
      </c>
      <c r="C358" s="44">
        <v>150.0</v>
      </c>
      <c r="D358" s="44">
        <f t="shared" si="26"/>
        <v>2458</v>
      </c>
      <c r="E358" s="44">
        <f t="shared" si="27"/>
        <v>3600</v>
      </c>
    </row>
    <row r="359" ht="15.75" customHeight="1">
      <c r="A359" s="41">
        <v>45651.0</v>
      </c>
      <c r="B359" s="42">
        <v>80.0</v>
      </c>
      <c r="C359" s="42">
        <v>150.0</v>
      </c>
      <c r="D359" s="42">
        <f t="shared" si="26"/>
        <v>2538</v>
      </c>
      <c r="E359" s="42">
        <f t="shared" si="27"/>
        <v>3750</v>
      </c>
    </row>
    <row r="360" ht="15.75" customHeight="1">
      <c r="A360" s="43">
        <v>45652.0</v>
      </c>
      <c r="B360" s="44">
        <v>70.0</v>
      </c>
      <c r="C360" s="44">
        <v>150.0</v>
      </c>
      <c r="D360" s="44">
        <f t="shared" si="26"/>
        <v>2608</v>
      </c>
      <c r="E360" s="44">
        <f t="shared" si="27"/>
        <v>3900</v>
      </c>
    </row>
    <row r="361" ht="15.75" customHeight="1">
      <c r="A361" s="41">
        <v>45653.0</v>
      </c>
      <c r="B361" s="42">
        <v>35.0</v>
      </c>
      <c r="C361" s="42">
        <v>150.0</v>
      </c>
      <c r="D361" s="42">
        <f t="shared" si="26"/>
        <v>2643</v>
      </c>
      <c r="E361" s="42">
        <f t="shared" si="27"/>
        <v>4050</v>
      </c>
    </row>
    <row r="362" ht="15.75" customHeight="1">
      <c r="A362" s="43">
        <v>45654.0</v>
      </c>
      <c r="B362" s="44">
        <f>220+19+17+20</f>
        <v>276</v>
      </c>
      <c r="C362" s="44">
        <v>150.0</v>
      </c>
      <c r="D362" s="44">
        <f t="shared" si="26"/>
        <v>2919</v>
      </c>
      <c r="E362" s="44">
        <f t="shared" si="27"/>
        <v>4200</v>
      </c>
    </row>
    <row r="363" ht="15.75" customHeight="1">
      <c r="A363" s="41">
        <v>45655.0</v>
      </c>
      <c r="B363" s="42">
        <f>75+50+90</f>
        <v>215</v>
      </c>
      <c r="C363" s="42">
        <v>150.0</v>
      </c>
      <c r="D363" s="42">
        <f t="shared" si="26"/>
        <v>3134</v>
      </c>
      <c r="E363" s="42">
        <f t="shared" si="27"/>
        <v>4350</v>
      </c>
    </row>
    <row r="364" ht="15.75" customHeight="1">
      <c r="A364" s="43">
        <v>45656.0</v>
      </c>
      <c r="B364" s="44">
        <f>80+20+25</f>
        <v>125</v>
      </c>
      <c r="C364" s="44">
        <v>150.0</v>
      </c>
      <c r="D364" s="44">
        <f t="shared" si="26"/>
        <v>3259</v>
      </c>
      <c r="E364" s="44">
        <f t="shared" si="27"/>
        <v>4500</v>
      </c>
    </row>
    <row r="365" ht="15.75" customHeight="1">
      <c r="A365" s="41">
        <v>45657.0</v>
      </c>
      <c r="B365" s="42">
        <f>36+25+12+45</f>
        <v>118</v>
      </c>
      <c r="C365" s="42">
        <v>150.0</v>
      </c>
      <c r="D365" s="42">
        <f t="shared" si="26"/>
        <v>3377</v>
      </c>
      <c r="E365" s="42">
        <f t="shared" si="27"/>
        <v>4650</v>
      </c>
    </row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23:B244 B275:B365">
    <cfRule type="cellIs" dxfId="4" priority="1" operator="greaterThan">
      <formula>$C$2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141</v>
      </c>
    </row>
    <row r="2">
      <c r="A2" s="7" t="s">
        <v>142</v>
      </c>
    </row>
    <row r="3">
      <c r="A3" s="7" t="s">
        <v>143</v>
      </c>
    </row>
    <row r="4">
      <c r="A4" s="7" t="s">
        <v>144</v>
      </c>
    </row>
    <row r="5">
      <c r="A5" s="7" t="s">
        <v>145</v>
      </c>
    </row>
    <row r="6">
      <c r="A6" s="7" t="s">
        <v>146</v>
      </c>
    </row>
    <row r="7">
      <c r="A7" s="7" t="s">
        <v>147</v>
      </c>
    </row>
    <row r="8">
      <c r="A8" s="7" t="s">
        <v>148</v>
      </c>
    </row>
    <row r="9">
      <c r="A9" s="7" t="s">
        <v>149</v>
      </c>
    </row>
    <row r="10">
      <c r="A10" s="7" t="s">
        <v>150</v>
      </c>
    </row>
    <row r="11">
      <c r="A11" s="7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